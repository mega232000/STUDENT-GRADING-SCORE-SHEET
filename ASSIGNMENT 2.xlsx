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Y SYSTEM\Documents\"/>
    </mc:Choice>
  </mc:AlternateContent>
  <xr:revisionPtr revIDLastSave="0" documentId="13_ncr:1_{4D27D2A2-0C16-4DB7-8269-C1E67425CF8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actice Questions " sheetId="1" r:id="rId1"/>
    <sheet name="Student 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2" i="2"/>
  <c r="J3" i="2" a="1"/>
  <c r="J3" i="2" s="1"/>
  <c r="J4" i="2" a="1"/>
  <c r="J4" i="2"/>
  <c r="J5" i="2" a="1"/>
  <c r="J5" i="2" s="1"/>
  <c r="J6" i="2" a="1"/>
  <c r="J6" i="2"/>
  <c r="J7" i="2" a="1"/>
  <c r="J7" i="2" s="1"/>
  <c r="J8" i="2" a="1"/>
  <c r="J8" i="2"/>
  <c r="J9" i="2" a="1"/>
  <c r="J9" i="2" s="1"/>
  <c r="J10" i="2" a="1"/>
  <c r="J10" i="2"/>
  <c r="J11" i="2" a="1"/>
  <c r="J11" i="2" s="1"/>
  <c r="J12" i="2" a="1"/>
  <c r="J12" i="2"/>
  <c r="J13" i="2" a="1"/>
  <c r="J13" i="2" s="1"/>
  <c r="J14" i="2" a="1"/>
  <c r="J14" i="2"/>
  <c r="J15" i="2" a="1"/>
  <c r="J15" i="2" s="1"/>
  <c r="J16" i="2" a="1"/>
  <c r="J16" i="2"/>
  <c r="J17" i="2" a="1"/>
  <c r="J17" i="2" s="1"/>
  <c r="J18" i="2" a="1"/>
  <c r="J18" i="2"/>
  <c r="J19" i="2" a="1"/>
  <c r="J19" i="2" s="1"/>
  <c r="J20" i="2" a="1"/>
  <c r="J20" i="2"/>
  <c r="J21" i="2" a="1"/>
  <c r="J21" i="2" s="1"/>
  <c r="J22" i="2" a="1"/>
  <c r="J22" i="2"/>
  <c r="J23" i="2" a="1"/>
  <c r="J23" i="2" s="1"/>
  <c r="J24" i="2" a="1"/>
  <c r="J24" i="2"/>
  <c r="J25" i="2" a="1"/>
  <c r="J25" i="2" s="1"/>
  <c r="J26" i="2" a="1"/>
  <c r="J26" i="2"/>
  <c r="J27" i="2" a="1"/>
  <c r="J27" i="2" s="1"/>
  <c r="J28" i="2" a="1"/>
  <c r="J28" i="2"/>
  <c r="J29" i="2" a="1"/>
  <c r="J29" i="2" s="1"/>
  <c r="J30" i="2" a="1"/>
  <c r="J30" i="2"/>
  <c r="J31" i="2" a="1"/>
  <c r="J31" i="2" s="1"/>
  <c r="J32" i="2" a="1"/>
  <c r="J32" i="2"/>
  <c r="J33" i="2" a="1"/>
  <c r="J33" i="2" s="1"/>
  <c r="J34" i="2" a="1"/>
  <c r="J34" i="2"/>
  <c r="J35" i="2" a="1"/>
  <c r="J35" i="2" s="1"/>
  <c r="J36" i="2" a="1"/>
  <c r="J36" i="2"/>
  <c r="J37" i="2" a="1"/>
  <c r="J37" i="2" s="1"/>
  <c r="J38" i="2" a="1"/>
  <c r="J38" i="2"/>
  <c r="J39" i="2" a="1"/>
  <c r="J39" i="2" s="1"/>
  <c r="J40" i="2" a="1"/>
  <c r="J40" i="2"/>
  <c r="J41" i="2" a="1"/>
  <c r="J41" i="2" s="1"/>
  <c r="J42" i="2" a="1"/>
  <c r="J42" i="2"/>
  <c r="J43" i="2" a="1"/>
  <c r="J43" i="2" s="1"/>
  <c r="J44" i="2" a="1"/>
  <c r="J44" i="2"/>
  <c r="J45" i="2" a="1"/>
  <c r="J45" i="2" s="1"/>
  <c r="J46" i="2" a="1"/>
  <c r="J46" i="2"/>
  <c r="J47" i="2" a="1"/>
  <c r="J47" i="2" s="1"/>
  <c r="J48" i="2" a="1"/>
  <c r="J48" i="2"/>
  <c r="J49" i="2" a="1"/>
  <c r="J49" i="2" s="1"/>
  <c r="J50" i="2" a="1"/>
  <c r="J50" i="2"/>
  <c r="J51" i="2" a="1"/>
  <c r="J51" i="2" s="1"/>
  <c r="J2" i="2" a="1"/>
  <c r="J2" i="2" s="1"/>
  <c r="I3" i="2" a="1"/>
  <c r="I3" i="2" s="1"/>
  <c r="I4" i="2" a="1"/>
  <c r="I4" i="2"/>
  <c r="I5" i="2" a="1"/>
  <c r="I5" i="2" s="1"/>
  <c r="I6" i="2" a="1"/>
  <c r="I6" i="2"/>
  <c r="I7" i="2" a="1"/>
  <c r="I7" i="2" s="1"/>
  <c r="I8" i="2" a="1"/>
  <c r="I8" i="2"/>
  <c r="I9" i="2" a="1"/>
  <c r="I9" i="2" s="1"/>
  <c r="I10" i="2" a="1"/>
  <c r="I10" i="2"/>
  <c r="I11" i="2" a="1"/>
  <c r="I11" i="2" s="1"/>
  <c r="I12" i="2" a="1"/>
  <c r="I12" i="2"/>
  <c r="I13" i="2" a="1"/>
  <c r="I13" i="2" s="1"/>
  <c r="I14" i="2" a="1"/>
  <c r="I14" i="2"/>
  <c r="I15" i="2" a="1"/>
  <c r="I15" i="2" s="1"/>
  <c r="I16" i="2" a="1"/>
  <c r="I16" i="2"/>
  <c r="I17" i="2" a="1"/>
  <c r="I17" i="2" s="1"/>
  <c r="I18" i="2" a="1"/>
  <c r="I18" i="2"/>
  <c r="I19" i="2" a="1"/>
  <c r="I19" i="2" s="1"/>
  <c r="I20" i="2" a="1"/>
  <c r="I20" i="2"/>
  <c r="I21" i="2" a="1"/>
  <c r="I21" i="2" s="1"/>
  <c r="I22" i="2" a="1"/>
  <c r="I22" i="2"/>
  <c r="I23" i="2" a="1"/>
  <c r="I23" i="2" s="1"/>
  <c r="I24" i="2" a="1"/>
  <c r="I24" i="2"/>
  <c r="I25" i="2" a="1"/>
  <c r="I25" i="2" s="1"/>
  <c r="I26" i="2" a="1"/>
  <c r="I26" i="2"/>
  <c r="I27" i="2" a="1"/>
  <c r="I27" i="2" s="1"/>
  <c r="I28" i="2" a="1"/>
  <c r="I28" i="2"/>
  <c r="I29" i="2" a="1"/>
  <c r="I29" i="2" s="1"/>
  <c r="I30" i="2" a="1"/>
  <c r="I30" i="2"/>
  <c r="I31" i="2" a="1"/>
  <c r="I31" i="2" s="1"/>
  <c r="I32" i="2" a="1"/>
  <c r="I32" i="2"/>
  <c r="I33" i="2" a="1"/>
  <c r="I33" i="2" s="1"/>
  <c r="I34" i="2" a="1"/>
  <c r="I34" i="2"/>
  <c r="I35" i="2" a="1"/>
  <c r="I35" i="2" s="1"/>
  <c r="I36" i="2" a="1"/>
  <c r="I36" i="2"/>
  <c r="I37" i="2" a="1"/>
  <c r="I37" i="2" s="1"/>
  <c r="I38" i="2" a="1"/>
  <c r="I38" i="2"/>
  <c r="I39" i="2" a="1"/>
  <c r="I39" i="2" s="1"/>
  <c r="I40" i="2" a="1"/>
  <c r="I40" i="2"/>
  <c r="I41" i="2" a="1"/>
  <c r="I41" i="2" s="1"/>
  <c r="I42" i="2" a="1"/>
  <c r="I42" i="2"/>
  <c r="I43" i="2" a="1"/>
  <c r="I43" i="2" s="1"/>
  <c r="I44" i="2" a="1"/>
  <c r="I44" i="2"/>
  <c r="I45" i="2" a="1"/>
  <c r="I45" i="2" s="1"/>
  <c r="I46" i="2" a="1"/>
  <c r="I46" i="2"/>
  <c r="I47" i="2" a="1"/>
  <c r="I47" i="2" s="1"/>
  <c r="I48" i="2" a="1"/>
  <c r="I48" i="2"/>
  <c r="I49" i="2" a="1"/>
  <c r="I49" i="2" s="1"/>
  <c r="I50" i="2" a="1"/>
  <c r="I50" i="2"/>
  <c r="I51" i="2" a="1"/>
  <c r="I51" i="2" s="1"/>
  <c r="I2" i="2" a="1"/>
  <c r="I2" i="2" s="1"/>
  <c r="N5" i="2"/>
  <c r="N4" i="2"/>
  <c r="H15" i="2"/>
  <c r="H3" i="2"/>
  <c r="H4" i="2"/>
  <c r="H5" i="2"/>
  <c r="H6" i="2"/>
  <c r="H7" i="2"/>
  <c r="H8" i="2"/>
  <c r="H9" i="2"/>
  <c r="H10" i="2"/>
  <c r="H11" i="2"/>
  <c r="H12" i="2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<sst xmlns="http://schemas.openxmlformats.org/spreadsheetml/2006/main" count="136" uniqueCount="136">
  <si>
    <t>Student ID</t>
  </si>
  <si>
    <t>Name</t>
  </si>
  <si>
    <t>Math</t>
  </si>
  <si>
    <t>English</t>
  </si>
  <si>
    <t>Science</t>
  </si>
  <si>
    <t>Total</t>
  </si>
  <si>
    <t>Average</t>
  </si>
  <si>
    <t>Grade</t>
  </si>
  <si>
    <t>S001</t>
  </si>
  <si>
    <t>Alice</t>
  </si>
  <si>
    <t>S002</t>
  </si>
  <si>
    <t>Brian</t>
  </si>
  <si>
    <t>S003</t>
  </si>
  <si>
    <t>Chioma</t>
  </si>
  <si>
    <t>S004</t>
  </si>
  <si>
    <t>Daniel</t>
  </si>
  <si>
    <t>S005</t>
  </si>
  <si>
    <t>Esther</t>
  </si>
  <si>
    <t>S006</t>
  </si>
  <si>
    <t>Fatima</t>
  </si>
  <si>
    <t>S007</t>
  </si>
  <si>
    <t>George</t>
  </si>
  <si>
    <t>S008</t>
  </si>
  <si>
    <t>Helen</t>
  </si>
  <si>
    <t>S009</t>
  </si>
  <si>
    <t>Isaac</t>
  </si>
  <si>
    <t>S010</t>
  </si>
  <si>
    <t>Janet</t>
  </si>
  <si>
    <t>S011</t>
  </si>
  <si>
    <t>Kelvin</t>
  </si>
  <si>
    <t>S012</t>
  </si>
  <si>
    <t>Laura</t>
  </si>
  <si>
    <t>S013</t>
  </si>
  <si>
    <t>Michael</t>
  </si>
  <si>
    <t>S014</t>
  </si>
  <si>
    <t>Nora</t>
  </si>
  <si>
    <t>S015</t>
  </si>
  <si>
    <t>Oscar</t>
  </si>
  <si>
    <t>S016</t>
  </si>
  <si>
    <t>Patricia</t>
  </si>
  <si>
    <t>S017</t>
  </si>
  <si>
    <t>Quincy</t>
  </si>
  <si>
    <t>S018</t>
  </si>
  <si>
    <t>Rita</t>
  </si>
  <si>
    <t>S019</t>
  </si>
  <si>
    <t>Samuel</t>
  </si>
  <si>
    <t>S020</t>
  </si>
  <si>
    <t>Tina</t>
  </si>
  <si>
    <t>S021</t>
  </si>
  <si>
    <t>Uche</t>
  </si>
  <si>
    <t>S022</t>
  </si>
  <si>
    <t>Victoria</t>
  </si>
  <si>
    <t>S023</t>
  </si>
  <si>
    <t>William</t>
  </si>
  <si>
    <t>S024</t>
  </si>
  <si>
    <t>Xavier</t>
  </si>
  <si>
    <t>S025</t>
  </si>
  <si>
    <t>Yvonne</t>
  </si>
  <si>
    <t>S026</t>
  </si>
  <si>
    <t>Zara</t>
  </si>
  <si>
    <t>S027</t>
  </si>
  <si>
    <t>Abdul</t>
  </si>
  <si>
    <t>S028</t>
  </si>
  <si>
    <t>Blessing</t>
  </si>
  <si>
    <t>S029</t>
  </si>
  <si>
    <t>Chinedu</t>
  </si>
  <si>
    <t>S030</t>
  </si>
  <si>
    <t>Deborah</t>
  </si>
  <si>
    <t>S031</t>
  </si>
  <si>
    <t>Emeka</t>
  </si>
  <si>
    <t>S032</t>
  </si>
  <si>
    <t>Favour</t>
  </si>
  <si>
    <t>S033</t>
  </si>
  <si>
    <t>Grace</t>
  </si>
  <si>
    <t>S034</t>
  </si>
  <si>
    <t>Henry</t>
  </si>
  <si>
    <t>S035</t>
  </si>
  <si>
    <t>Ifeoma</t>
  </si>
  <si>
    <t>S036</t>
  </si>
  <si>
    <t>Joseph</t>
  </si>
  <si>
    <t>S037</t>
  </si>
  <si>
    <t>Kate</t>
  </si>
  <si>
    <t>S038</t>
  </si>
  <si>
    <t>Leo</t>
  </si>
  <si>
    <t>S039</t>
  </si>
  <si>
    <t>Mary</t>
  </si>
  <si>
    <t>S040</t>
  </si>
  <si>
    <t>Nathan</t>
  </si>
  <si>
    <t>S041</t>
  </si>
  <si>
    <t>Olamide</t>
  </si>
  <si>
    <t>S042</t>
  </si>
  <si>
    <t>Peace</t>
  </si>
  <si>
    <t>S043</t>
  </si>
  <si>
    <t>Queen</t>
  </si>
  <si>
    <t>S044</t>
  </si>
  <si>
    <t>Raphael</t>
  </si>
  <si>
    <t>S045</t>
  </si>
  <si>
    <t>Sade</t>
  </si>
  <si>
    <t>S046</t>
  </si>
  <si>
    <t>Tony</t>
  </si>
  <si>
    <t>S047</t>
  </si>
  <si>
    <t>Uduak</t>
  </si>
  <si>
    <t>S048</t>
  </si>
  <si>
    <t>Valerie</t>
  </si>
  <si>
    <t>S049</t>
  </si>
  <si>
    <t>Wisdom</t>
  </si>
  <si>
    <t>S050</t>
  </si>
  <si>
    <t>Yetunde</t>
  </si>
  <si>
    <t>Practice Questions</t>
  </si>
  <si>
    <t>2. Round the average to the nearest whole number using ROUND.</t>
  </si>
  <si>
    <t>---</t>
  </si>
  <si>
    <t>1. Use COUNT to find how many students took the test.</t>
  </si>
  <si>
    <t>2. Use COUNTA to count how many cells in the “Name” column are filled.</t>
  </si>
  <si>
    <t>Build a grading system with these rules:</t>
  </si>
  <si>
    <t>Bonus Score</t>
  </si>
  <si>
    <t>1. In the Average Column, calculate the average score of each Student (Math + English + Science) / 3.</t>
  </si>
  <si>
    <t xml:space="preserve">Number of students </t>
  </si>
  <si>
    <t xml:space="preserve">Number of Name Columns </t>
  </si>
  <si>
    <t>Grade  description</t>
  </si>
  <si>
    <t>Cell References</t>
  </si>
  <si>
    <t>2. Use absolute reference to multiply all totals by a bonus factor  1.05</t>
  </si>
  <si>
    <t>Arithmetic Formulas</t>
  </si>
  <si>
    <t>Common Functions</t>
  </si>
  <si>
    <t>Logical Functions</t>
  </si>
  <si>
    <t>Grade Asessment</t>
  </si>
  <si>
    <t>2. Create a grading rule in Grade Asessment column:</t>
  </si>
  <si>
    <t>Total *Bonus</t>
  </si>
  <si>
    <t>1. Use IFS function to assign to the grade description column “Excellent” if the average of all three subjects ≥ 70, otherwise “Needs Improvement” if average is &gt;=  50 and "Poor" if average &lt;= 49</t>
  </si>
  <si>
    <t xml:space="preserve"> Mini Project: Student Score Grading Sheet</t>
  </si>
  <si>
    <t>1. Enter a formula in Total to calculate the sum of Math, English, and Science using mixed reference.</t>
  </si>
  <si>
    <t>Average ≥ 70 then Grade A</t>
  </si>
  <si>
    <t>60–69 then Grade B</t>
  </si>
  <si>
    <t>50–59 then Grade C</t>
  </si>
  <si>
    <t>40–49 then Grade D</t>
  </si>
  <si>
    <t>Below 40 then Grade F</t>
  </si>
  <si>
    <t>If Average ≥ 70 then ""Pass"", else ""Fail"" (using IF).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</si>
</sst>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</font>
    <font>
      <b/>
      <sz val="16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00"/>
        <bgColor rgb="FF5181BD"/>
      </patternFill>
    </fill>
    <fill>
      <patternFill patternType="solid">
        <fgColor rgb="FFF2F2F2"/>
        <bgColor rgb="FFDCE5F1"/>
      </patternFill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6" fillId="3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1" fontId="6" fillId="5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1" zoomScale="98" zoomScaleNormal="98" workbookViewId="0">
      <selection activeCell="B43" sqref="B43"/>
    </sheetView>
  </sheetViews>
  <sheetFormatPr defaultColWidth="9" defaultRowHeight="15" x14ac:dyDescent="0.25"/>
  <cols>
    <col min="1" max="1" width="4.28515625" customWidth="1"/>
    <col min="2" max="2" width="48.5703125" customWidth="1"/>
    <col min="3" max="6" width="10"/>
    <col min="7" max="7" width="80" customWidth="1"/>
    <col min="8" max="8" width="2.28515625" style="1" customWidth="1"/>
    <col min="9" max="256" width="10" customWidth="1"/>
  </cols>
  <sheetData>
    <row r="1" spans="1:7" s="1" customFormat="1" ht="24" customHeight="1" x14ac:dyDescent="0.25">
      <c r="A1" s="2"/>
      <c r="B1" s="2" t="s">
        <v>108</v>
      </c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4"/>
      <c r="B3" s="4" t="s">
        <v>119</v>
      </c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5" t="s">
        <v>129</v>
      </c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5"/>
      <c r="B7" s="5" t="s">
        <v>120</v>
      </c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4"/>
      <c r="B9" s="4" t="s">
        <v>121</v>
      </c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5"/>
      <c r="B11" s="5" t="s">
        <v>115</v>
      </c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 t="s">
        <v>109</v>
      </c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4"/>
      <c r="B16" s="4" t="s">
        <v>122</v>
      </c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 t="s">
        <v>111</v>
      </c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 t="s">
        <v>112</v>
      </c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4" t="s">
        <v>123</v>
      </c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5" t="s">
        <v>128</v>
      </c>
      <c r="C25" s="3"/>
      <c r="D25" s="3"/>
      <c r="E25" s="3"/>
      <c r="F25" s="3"/>
      <c r="G25" s="3"/>
    </row>
    <row r="26" spans="1:7" x14ac:dyDescent="0.25">
      <c r="A26" s="4"/>
      <c r="B26" s="3"/>
      <c r="C26" s="3"/>
      <c r="D26" s="3"/>
      <c r="E26" s="3"/>
      <c r="F26" s="3"/>
      <c r="G26" s="3"/>
    </row>
    <row r="27" spans="1:7" x14ac:dyDescent="0.25">
      <c r="A27" s="3"/>
      <c r="B27" s="3" t="s">
        <v>113</v>
      </c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 t="s">
        <v>130</v>
      </c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 t="s">
        <v>131</v>
      </c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 t="s">
        <v>132</v>
      </c>
      <c r="C33" s="3"/>
      <c r="D33" s="3"/>
      <c r="E33" s="3"/>
      <c r="F33" s="3"/>
      <c r="G33" s="3"/>
    </row>
    <row r="34" spans="1:7" x14ac:dyDescent="0.25">
      <c r="A34" s="4"/>
      <c r="B34" s="3"/>
      <c r="C34" s="3"/>
      <c r="D34" s="3"/>
      <c r="E34" s="3"/>
      <c r="F34" s="3"/>
      <c r="G34" s="3"/>
    </row>
    <row r="35" spans="1:7" x14ac:dyDescent="0.25">
      <c r="A35" s="3"/>
      <c r="B35" s="3" t="s">
        <v>133</v>
      </c>
      <c r="C35" s="3"/>
      <c r="D35" s="3"/>
      <c r="E35" s="3"/>
      <c r="F35" s="3"/>
      <c r="G35" s="3"/>
    </row>
    <row r="36" spans="1:7" x14ac:dyDescent="0.25">
      <c r="A36" s="5"/>
      <c r="B36" s="3"/>
      <c r="C36" s="3"/>
      <c r="D36" s="3"/>
      <c r="E36" s="3"/>
      <c r="F36" s="3"/>
      <c r="G36" s="3"/>
    </row>
    <row r="37" spans="1:7" x14ac:dyDescent="0.25">
      <c r="A37" s="3"/>
      <c r="B37" s="5" t="s">
        <v>134</v>
      </c>
      <c r="C37" s="3"/>
      <c r="D37" s="3"/>
      <c r="E37" s="3"/>
      <c r="F37" s="3"/>
      <c r="G37" s="3"/>
    </row>
    <row r="38" spans="1:7" x14ac:dyDescent="0.25">
      <c r="A38" s="3"/>
      <c r="B38" s="5"/>
      <c r="C38" s="3"/>
      <c r="D38" s="3"/>
      <c r="E38" s="3"/>
      <c r="F38" s="3"/>
      <c r="G38" s="3"/>
    </row>
    <row r="39" spans="1:7" x14ac:dyDescent="0.25">
      <c r="A39" s="5"/>
      <c r="B39" s="5" t="s">
        <v>127</v>
      </c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5" t="s">
        <v>125</v>
      </c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5"/>
      <c r="B43" s="3" t="s">
        <v>135</v>
      </c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  <row r="54" spans="1:7" x14ac:dyDescent="0.25">
      <c r="A54" s="3"/>
      <c r="B54" s="3"/>
      <c r="C54" s="3"/>
      <c r="D54" s="3"/>
      <c r="E54" s="3"/>
      <c r="F54" s="3"/>
      <c r="G54" s="3"/>
    </row>
    <row r="55" spans="1:7" x14ac:dyDescent="0.25">
      <c r="A55" s="3"/>
      <c r="B55" s="3"/>
      <c r="C55" s="3"/>
      <c r="D55" s="3"/>
      <c r="E55" s="3"/>
      <c r="F55" s="3"/>
      <c r="G55" s="3"/>
    </row>
    <row r="56" spans="1:7" x14ac:dyDescent="0.25">
      <c r="A56" s="3"/>
      <c r="B56" s="3"/>
      <c r="C56" s="3"/>
      <c r="D56" s="3"/>
      <c r="E56" s="3"/>
      <c r="F56" s="3"/>
      <c r="G56" s="3"/>
    </row>
    <row r="57" spans="1:7" x14ac:dyDescent="0.25">
      <c r="A57" s="3"/>
      <c r="B57" s="3"/>
      <c r="C57" s="3"/>
      <c r="D57" s="3"/>
      <c r="E57" s="3"/>
      <c r="F57" s="3"/>
      <c r="G57" s="3"/>
    </row>
    <row r="58" spans="1:7" x14ac:dyDescent="0.25">
      <c r="A58" s="3"/>
      <c r="B58" s="3"/>
      <c r="C58" s="3"/>
      <c r="D58" s="3"/>
      <c r="E58" s="3"/>
      <c r="F58" s="3"/>
      <c r="G58" s="3"/>
    </row>
    <row r="59" spans="1:7" x14ac:dyDescent="0.25">
      <c r="A59" s="3"/>
      <c r="B59" s="3"/>
      <c r="C59" s="3"/>
      <c r="D59" s="3"/>
      <c r="E59" s="3"/>
      <c r="F59" s="3"/>
      <c r="G59" s="3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  <row r="67" spans="1:7" x14ac:dyDescent="0.25">
      <c r="A67" s="3"/>
      <c r="B67" s="3"/>
      <c r="C67" s="3"/>
      <c r="D67" s="3"/>
      <c r="E67" s="3"/>
      <c r="F67" s="3"/>
      <c r="G67" s="3"/>
    </row>
    <row r="68" spans="1:7" x14ac:dyDescent="0.25">
      <c r="A68" s="3"/>
      <c r="B68" s="3"/>
      <c r="C68" s="3"/>
      <c r="D68" s="3"/>
      <c r="E68" s="3"/>
      <c r="F68" s="3"/>
      <c r="G68" s="3"/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  <row r="71" spans="1:7" x14ac:dyDescent="0.25">
      <c r="A71" s="3"/>
      <c r="B71" s="3"/>
      <c r="C71" s="3"/>
      <c r="D71" s="3"/>
      <c r="E71" s="3"/>
      <c r="F71" s="3"/>
      <c r="G71" s="3"/>
    </row>
    <row r="72" spans="1:7" x14ac:dyDescent="0.25">
      <c r="A72" s="3"/>
      <c r="B72" s="3"/>
      <c r="C72" s="3"/>
      <c r="D72" s="3"/>
      <c r="E72" s="3"/>
      <c r="F72" s="3"/>
      <c r="G72" s="3"/>
    </row>
    <row r="73" spans="1:7" x14ac:dyDescent="0.25">
      <c r="A73" s="3"/>
      <c r="B73" s="3"/>
      <c r="C73" s="3"/>
      <c r="D73" s="3"/>
      <c r="E73" s="3"/>
      <c r="F73" s="3"/>
      <c r="G73" s="3"/>
    </row>
    <row r="74" spans="1:7" x14ac:dyDescent="0.25">
      <c r="A74" s="3"/>
      <c r="B74" s="3"/>
      <c r="C74" s="3"/>
      <c r="D74" s="3"/>
      <c r="E74" s="3"/>
      <c r="F74" s="3"/>
      <c r="G74" s="3"/>
    </row>
    <row r="75" spans="1:7" x14ac:dyDescent="0.25">
      <c r="A75" s="3"/>
      <c r="B75" s="3"/>
      <c r="C75" s="3"/>
      <c r="D75" s="3"/>
      <c r="E75" s="3"/>
      <c r="F75" s="3"/>
      <c r="G75" s="3"/>
    </row>
    <row r="76" spans="1:7" x14ac:dyDescent="0.25">
      <c r="A76" s="3"/>
      <c r="B76" s="3" t="s">
        <v>110</v>
      </c>
      <c r="C76" s="3"/>
      <c r="D76" s="3"/>
      <c r="E76" s="3"/>
      <c r="F76" s="3"/>
      <c r="G76" s="3"/>
    </row>
    <row r="77" spans="1:7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  <row r="98" spans="1:7" x14ac:dyDescent="0.25">
      <c r="A98" s="3"/>
      <c r="B98" s="3"/>
      <c r="C98" s="3"/>
      <c r="D98" s="3"/>
      <c r="E98" s="3"/>
      <c r="F98" s="3"/>
      <c r="G9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abSelected="1" zoomScale="84" zoomScaleNormal="84" workbookViewId="0">
      <selection activeCell="C51" sqref="C51"/>
    </sheetView>
  </sheetViews>
  <sheetFormatPr defaultColWidth="9" defaultRowHeight="15" x14ac:dyDescent="0.25"/>
  <cols>
    <col min="1" max="1" width="12.42578125" customWidth="1"/>
    <col min="2" max="2" width="15.140625" customWidth="1"/>
    <col min="3" max="3" width="16.140625" customWidth="1"/>
    <col min="4" max="4" width="16" customWidth="1"/>
    <col min="5" max="5" width="18.7109375" customWidth="1"/>
    <col min="6" max="6" width="16" customWidth="1"/>
    <col min="7" max="7" width="14.42578125" customWidth="1"/>
    <col min="8" max="8" width="13.42578125" customWidth="1"/>
    <col min="9" max="9" width="12.7109375" customWidth="1"/>
    <col min="10" max="10" width="21" bestFit="1" customWidth="1"/>
    <col min="11" max="11" width="19" customWidth="1"/>
    <col min="12" max="12" width="11.7109375" customWidth="1"/>
    <col min="13" max="14" width="25.28515625" customWidth="1"/>
    <col min="15" max="256" width="10" customWidth="1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126</v>
      </c>
      <c r="H1" s="6" t="s">
        <v>6</v>
      </c>
      <c r="I1" s="6" t="s">
        <v>7</v>
      </c>
      <c r="J1" s="6" t="s">
        <v>118</v>
      </c>
      <c r="K1" s="6" t="s">
        <v>124</v>
      </c>
    </row>
    <row r="2" spans="1:14" x14ac:dyDescent="0.25">
      <c r="A2" s="7" t="s">
        <v>8</v>
      </c>
      <c r="B2" s="7" t="s">
        <v>9</v>
      </c>
      <c r="C2" s="7">
        <v>29</v>
      </c>
      <c r="D2" s="7">
        <v>56</v>
      </c>
      <c r="E2" s="7">
        <v>26</v>
      </c>
      <c r="F2" s="7">
        <f>C2+D2+E2</f>
        <v>111</v>
      </c>
      <c r="G2" s="7">
        <f>F2*$N$2</f>
        <v>116.55000000000001</v>
      </c>
      <c r="H2" s="7">
        <f>((C2+D2+E2)/3)</f>
        <v>37</v>
      </c>
      <c r="I2" s="7" t="str" cm="1">
        <f t="array" ref="I2">_xlfn.IFS(H2&gt;70,"A",H2&gt;60,"B", H2&gt;50,"C",H2&gt;40,"D", H2&lt;40,"F")</f>
        <v>F</v>
      </c>
      <c r="J2" s="7" t="str" cm="1">
        <f t="array" ref="J2">_xlfn.IFS(H2&gt;=70,"EXCELLENT",H2&gt;=50, "NEEDS IMPROVEMENT",H2&lt;=49,"POOR")</f>
        <v>POOR</v>
      </c>
      <c r="K2" s="7" t="str">
        <f>IF(H2 &gt;70,"Pass", "Fail")</f>
        <v>Fail</v>
      </c>
      <c r="M2" s="8" t="s">
        <v>114</v>
      </c>
      <c r="N2" s="9">
        <v>1.05</v>
      </c>
    </row>
    <row r="3" spans="1:14" x14ac:dyDescent="0.25">
      <c r="A3" s="10" t="s">
        <v>10</v>
      </c>
      <c r="B3" s="10" t="s">
        <v>11</v>
      </c>
      <c r="C3" s="10">
        <v>41</v>
      </c>
      <c r="D3" s="10">
        <v>56</v>
      </c>
      <c r="E3" s="10">
        <v>58</v>
      </c>
      <c r="F3" s="7">
        <f t="shared" ref="F3:F51" si="0">C3+D3+E3</f>
        <v>155</v>
      </c>
      <c r="G3" s="7">
        <f t="shared" ref="G3:G51" si="1">F3*$N$2</f>
        <v>162.75</v>
      </c>
      <c r="H3" s="12">
        <f t="shared" ref="H3:H51" si="2">((C3+D3+E3)/3)</f>
        <v>51.666666666666664</v>
      </c>
      <c r="I3" s="7" t="str" cm="1">
        <f t="array" ref="I3">_xlfn.IFS(H3&gt;70,"A",H3&gt;60,"B", H3&gt;50,"C",H3&gt;40,"D", H3&lt;40,"F")</f>
        <v>C</v>
      </c>
      <c r="J3" s="7" t="str" cm="1">
        <f t="array" ref="J3">_xlfn.IFS(H3&gt;=70,"EXCELLENT",H3&gt;=50, "NEEDS IMPROVEMENT",H3&lt;=49,"POOR")</f>
        <v>NEEDS IMPROVEMENT</v>
      </c>
      <c r="K3" s="7" t="str">
        <f t="shared" ref="K3:K51" si="3">IF(H3 &gt;70,"Pass", "Fail")</f>
        <v>Fail</v>
      </c>
    </row>
    <row r="4" spans="1:14" x14ac:dyDescent="0.25">
      <c r="A4" s="7" t="s">
        <v>12</v>
      </c>
      <c r="B4" s="7" t="s">
        <v>13</v>
      </c>
      <c r="C4" s="7">
        <v>56</v>
      </c>
      <c r="D4" s="7">
        <v>89</v>
      </c>
      <c r="E4" s="7">
        <v>63</v>
      </c>
      <c r="F4" s="7">
        <f t="shared" si="0"/>
        <v>208</v>
      </c>
      <c r="G4" s="7">
        <f t="shared" si="1"/>
        <v>218.4</v>
      </c>
      <c r="H4" s="12">
        <f t="shared" si="2"/>
        <v>69.333333333333329</v>
      </c>
      <c r="I4" s="7" t="str" cm="1">
        <f t="array" ref="I4">_xlfn.IFS(H4&gt;70,"A",H4&gt;60,"B", H4&gt;50,"C",H4&gt;40,"D", H4&lt;40,"F")</f>
        <v>B</v>
      </c>
      <c r="J4" s="7" t="str" cm="1">
        <f t="array" ref="J4">_xlfn.IFS(H4&gt;=70,"EXCELLENT",H4&gt;=50, "NEEDS IMPROVEMENT",H4&lt;=49,"POOR")</f>
        <v>NEEDS IMPROVEMENT</v>
      </c>
      <c r="K4" s="7" t="str">
        <f t="shared" si="3"/>
        <v>Fail</v>
      </c>
      <c r="M4" s="11" t="s">
        <v>116</v>
      </c>
      <c r="N4" s="9">
        <f>COUNT(F2:F51)</f>
        <v>50</v>
      </c>
    </row>
    <row r="5" spans="1:14" x14ac:dyDescent="0.25">
      <c r="A5" s="10" t="s">
        <v>14</v>
      </c>
      <c r="B5" s="10" t="s">
        <v>15</v>
      </c>
      <c r="C5" s="10">
        <v>54</v>
      </c>
      <c r="D5" s="10">
        <v>49</v>
      </c>
      <c r="E5" s="10">
        <v>43</v>
      </c>
      <c r="F5" s="7">
        <f t="shared" si="0"/>
        <v>146</v>
      </c>
      <c r="G5" s="7">
        <f t="shared" si="1"/>
        <v>153.30000000000001</v>
      </c>
      <c r="H5" s="12">
        <f t="shared" si="2"/>
        <v>48.666666666666664</v>
      </c>
      <c r="I5" s="7" t="str" cm="1">
        <f t="array" ref="I5">_xlfn.IFS(H5&gt;70,"A",H5&gt;60,"B", H5&gt;50,"C",H5&gt;40,"D", H5&lt;40,"F")</f>
        <v>D</v>
      </c>
      <c r="J5" s="7" t="str" cm="1">
        <f t="array" ref="J5">_xlfn.IFS(H5&gt;=70,"EXCELLENT",H5&gt;=50, "NEEDS IMPROVEMENT",H5&lt;=49,"POOR")</f>
        <v>POOR</v>
      </c>
      <c r="K5" s="7" t="str">
        <f t="shared" si="3"/>
        <v>Fail</v>
      </c>
      <c r="M5" s="11" t="s">
        <v>117</v>
      </c>
      <c r="N5" s="9">
        <f>COUNTA(B2:B51)</f>
        <v>50</v>
      </c>
    </row>
    <row r="6" spans="1:14" x14ac:dyDescent="0.25">
      <c r="A6" s="7" t="s">
        <v>16</v>
      </c>
      <c r="B6" s="7" t="s">
        <v>17</v>
      </c>
      <c r="C6" s="7">
        <v>70</v>
      </c>
      <c r="D6" s="7">
        <v>74</v>
      </c>
      <c r="E6" s="7">
        <v>64</v>
      </c>
      <c r="F6" s="7">
        <f t="shared" si="0"/>
        <v>208</v>
      </c>
      <c r="G6" s="7">
        <f t="shared" si="1"/>
        <v>218.4</v>
      </c>
      <c r="H6" s="12">
        <f t="shared" si="2"/>
        <v>69.333333333333329</v>
      </c>
      <c r="I6" s="7" t="str" cm="1">
        <f t="array" ref="I6">_xlfn.IFS(H6&gt;70,"A",H6&gt;60,"B", H6&gt;50,"C",H6&gt;40,"D", H6&lt;40,"F")</f>
        <v>B</v>
      </c>
      <c r="J6" s="7" t="str" cm="1">
        <f t="array" ref="J6">_xlfn.IFS(H6&gt;=70,"EXCELLENT",H6&gt;=50, "NEEDS IMPROVEMENT",H6&lt;=49,"POOR")</f>
        <v>NEEDS IMPROVEMENT</v>
      </c>
      <c r="K6" s="7" t="str">
        <f t="shared" si="3"/>
        <v>Fail</v>
      </c>
    </row>
    <row r="7" spans="1:14" x14ac:dyDescent="0.25">
      <c r="A7" s="10" t="s">
        <v>18</v>
      </c>
      <c r="B7" s="10" t="s">
        <v>19</v>
      </c>
      <c r="C7" s="10">
        <v>72</v>
      </c>
      <c r="D7" s="10">
        <v>65</v>
      </c>
      <c r="E7" s="10">
        <v>95</v>
      </c>
      <c r="F7" s="7">
        <f t="shared" si="0"/>
        <v>232</v>
      </c>
      <c r="G7" s="7">
        <f t="shared" si="1"/>
        <v>243.60000000000002</v>
      </c>
      <c r="H7" s="12">
        <f t="shared" si="2"/>
        <v>77.333333333333329</v>
      </c>
      <c r="I7" s="7" t="str" cm="1">
        <f t="array" ref="I7">_xlfn.IFS(H7&gt;70,"A",H7&gt;60,"B", H7&gt;50,"C",H7&gt;40,"D", H7&lt;40,"F")</f>
        <v>A</v>
      </c>
      <c r="J7" s="7" t="str" cm="1">
        <f t="array" ref="J7">_xlfn.IFS(H7&gt;=70,"EXCELLENT",H7&gt;=50, "NEEDS IMPROVEMENT",H7&lt;=49,"POOR")</f>
        <v>EXCELLENT</v>
      </c>
      <c r="K7" s="7" t="str">
        <f t="shared" si="3"/>
        <v>Pass</v>
      </c>
    </row>
    <row r="8" spans="1:14" x14ac:dyDescent="0.25">
      <c r="A8" s="7" t="s">
        <v>20</v>
      </c>
      <c r="B8" s="7" t="s">
        <v>21</v>
      </c>
      <c r="C8" s="7">
        <v>20</v>
      </c>
      <c r="D8" s="7">
        <v>10</v>
      </c>
      <c r="E8" s="7">
        <v>30</v>
      </c>
      <c r="F8" s="7">
        <f t="shared" si="0"/>
        <v>60</v>
      </c>
      <c r="G8" s="7">
        <f t="shared" si="1"/>
        <v>63</v>
      </c>
      <c r="H8" s="7">
        <f t="shared" si="2"/>
        <v>20</v>
      </c>
      <c r="I8" s="7" t="str" cm="1">
        <f t="array" ref="I8">_xlfn.IFS(H8&gt;70,"A",H8&gt;60,"B", H8&gt;50,"C",H8&gt;40,"D", H8&lt;40,"F")</f>
        <v>F</v>
      </c>
      <c r="J8" s="7" t="str" cm="1">
        <f t="array" ref="J8">_xlfn.IFS(H8&gt;=70,"EXCELLENT",H8&gt;=50, "NEEDS IMPROVEMENT",H8&lt;=49,"POOR")</f>
        <v>POOR</v>
      </c>
      <c r="K8" s="7" t="str">
        <f t="shared" si="3"/>
        <v>Fail</v>
      </c>
    </row>
    <row r="9" spans="1:14" x14ac:dyDescent="0.25">
      <c r="A9" s="10" t="s">
        <v>22</v>
      </c>
      <c r="B9" s="10" t="s">
        <v>23</v>
      </c>
      <c r="C9" s="10">
        <v>91</v>
      </c>
      <c r="D9" s="10">
        <v>82</v>
      </c>
      <c r="E9" s="10">
        <v>76</v>
      </c>
      <c r="F9" s="7">
        <f t="shared" si="0"/>
        <v>249</v>
      </c>
      <c r="G9" s="7">
        <f t="shared" si="1"/>
        <v>261.45</v>
      </c>
      <c r="H9" s="7">
        <f t="shared" si="2"/>
        <v>83</v>
      </c>
      <c r="I9" s="7" t="str" cm="1">
        <f t="array" ref="I9">_xlfn.IFS(H9&gt;70,"A",H9&gt;60,"B", H9&gt;50,"C",H9&gt;40,"D", H9&lt;40,"F")</f>
        <v>A</v>
      </c>
      <c r="J9" s="7" t="str" cm="1">
        <f t="array" ref="J9">_xlfn.IFS(H9&gt;=70,"EXCELLENT",H9&gt;=50, "NEEDS IMPROVEMENT",H9&lt;=49,"POOR")</f>
        <v>EXCELLENT</v>
      </c>
      <c r="K9" s="7" t="str">
        <f t="shared" si="3"/>
        <v>Pass</v>
      </c>
    </row>
    <row r="10" spans="1:14" x14ac:dyDescent="0.25">
      <c r="A10" s="7" t="s">
        <v>24</v>
      </c>
      <c r="B10" s="7" t="s">
        <v>25</v>
      </c>
      <c r="C10" s="7">
        <v>85</v>
      </c>
      <c r="D10" s="7">
        <v>74</v>
      </c>
      <c r="E10" s="7">
        <v>82</v>
      </c>
      <c r="F10" s="7">
        <f t="shared" si="0"/>
        <v>241</v>
      </c>
      <c r="G10" s="7">
        <f t="shared" si="1"/>
        <v>253.05</v>
      </c>
      <c r="H10" s="12">
        <f t="shared" si="2"/>
        <v>80.333333333333329</v>
      </c>
      <c r="I10" s="7" t="str" cm="1">
        <f t="array" ref="I10">_xlfn.IFS(H10&gt;70,"A",H10&gt;60,"B", H10&gt;50,"C",H10&gt;40,"D", H10&lt;40,"F")</f>
        <v>A</v>
      </c>
      <c r="J10" s="7" t="str" cm="1">
        <f t="array" ref="J10">_xlfn.IFS(H10&gt;=70,"EXCELLENT",H10&gt;=50, "NEEDS IMPROVEMENT",H10&lt;=49,"POOR")</f>
        <v>EXCELLENT</v>
      </c>
      <c r="K10" s="7" t="str">
        <f t="shared" si="3"/>
        <v>Pass</v>
      </c>
    </row>
    <row r="11" spans="1:14" x14ac:dyDescent="0.25">
      <c r="A11" s="10" t="s">
        <v>26</v>
      </c>
      <c r="B11" s="10" t="s">
        <v>27</v>
      </c>
      <c r="C11" s="10">
        <v>40</v>
      </c>
      <c r="D11" s="10">
        <v>64</v>
      </c>
      <c r="E11" s="10">
        <v>62</v>
      </c>
      <c r="F11" s="7">
        <f t="shared" si="0"/>
        <v>166</v>
      </c>
      <c r="G11" s="7">
        <f t="shared" si="1"/>
        <v>174.3</v>
      </c>
      <c r="H11" s="12">
        <f t="shared" si="2"/>
        <v>55.333333333333336</v>
      </c>
      <c r="I11" s="7" t="str" cm="1">
        <f t="array" ref="I11">_xlfn.IFS(H11&gt;70,"A",H11&gt;60,"B", H11&gt;50,"C",H11&gt;40,"D", H11&lt;40,"F")</f>
        <v>C</v>
      </c>
      <c r="J11" s="7" t="str" cm="1">
        <f t="array" ref="J11">_xlfn.IFS(H11&gt;=70,"EXCELLENT",H11&gt;=50, "NEEDS IMPROVEMENT",H11&lt;=49,"POOR")</f>
        <v>NEEDS IMPROVEMENT</v>
      </c>
      <c r="K11" s="7" t="str">
        <f t="shared" si="3"/>
        <v>Fail</v>
      </c>
    </row>
    <row r="12" spans="1:14" x14ac:dyDescent="0.25">
      <c r="A12" s="7" t="s">
        <v>28</v>
      </c>
      <c r="B12" s="7" t="s">
        <v>29</v>
      </c>
      <c r="C12" s="7">
        <v>51</v>
      </c>
      <c r="D12" s="7">
        <v>60</v>
      </c>
      <c r="E12" s="7">
        <v>39</v>
      </c>
      <c r="F12" s="7">
        <f t="shared" si="0"/>
        <v>150</v>
      </c>
      <c r="G12" s="7">
        <f t="shared" si="1"/>
        <v>157.5</v>
      </c>
      <c r="H12" s="7">
        <f t="shared" si="2"/>
        <v>50</v>
      </c>
      <c r="I12" s="7" t="str" cm="1">
        <f t="array" ref="I12">_xlfn.IFS(H12&gt;70,"A",H12&gt;60,"B", H12&gt;50,"C",H12&gt;40,"D", H12&lt;40,"F")</f>
        <v>D</v>
      </c>
      <c r="J12" s="7" t="str" cm="1">
        <f t="array" ref="J12">_xlfn.IFS(H12&gt;=70,"EXCELLENT",H12&gt;=50, "NEEDS IMPROVEMENT",H12&lt;=49,"POOR")</f>
        <v>NEEDS IMPROVEMENT</v>
      </c>
      <c r="K12" s="7" t="str">
        <f t="shared" si="3"/>
        <v>Fail</v>
      </c>
    </row>
    <row r="13" spans="1:14" x14ac:dyDescent="0.25">
      <c r="A13" s="10" t="s">
        <v>30</v>
      </c>
      <c r="B13" s="10" t="s">
        <v>31</v>
      </c>
      <c r="C13" s="10">
        <v>88</v>
      </c>
      <c r="D13" s="10">
        <v>68</v>
      </c>
      <c r="E13" s="10">
        <v>49</v>
      </c>
      <c r="F13" s="7">
        <f t="shared" si="0"/>
        <v>205</v>
      </c>
      <c r="G13" s="7">
        <f t="shared" si="1"/>
        <v>215.25</v>
      </c>
      <c r="H13" s="12">
        <f t="shared" si="2"/>
        <v>68.333333333333329</v>
      </c>
      <c r="I13" s="7" t="str" cm="1">
        <f t="array" ref="I13">_xlfn.IFS(H13&gt;70,"A",H13&gt;60,"B", H13&gt;50,"C",H13&gt;40,"D", H13&lt;40,"F")</f>
        <v>B</v>
      </c>
      <c r="J13" s="7" t="str" cm="1">
        <f t="array" ref="J13">_xlfn.IFS(H13&gt;=70,"EXCELLENT",H13&gt;=50, "NEEDS IMPROVEMENT",H13&lt;=49,"POOR")</f>
        <v>NEEDS IMPROVEMENT</v>
      </c>
      <c r="K13" s="7" t="str">
        <f t="shared" si="3"/>
        <v>Fail</v>
      </c>
    </row>
    <row r="14" spans="1:14" x14ac:dyDescent="0.25">
      <c r="A14" s="7" t="s">
        <v>32</v>
      </c>
      <c r="B14" s="7" t="s">
        <v>33</v>
      </c>
      <c r="C14" s="7">
        <v>83</v>
      </c>
      <c r="D14" s="7">
        <v>66</v>
      </c>
      <c r="E14" s="7">
        <v>55</v>
      </c>
      <c r="F14" s="7">
        <f t="shared" si="0"/>
        <v>204</v>
      </c>
      <c r="G14" s="7">
        <f t="shared" si="1"/>
        <v>214.20000000000002</v>
      </c>
      <c r="H14" s="7">
        <f t="shared" si="2"/>
        <v>68</v>
      </c>
      <c r="I14" s="7" t="str" cm="1">
        <f t="array" ref="I14">_xlfn.IFS(H14&gt;70,"A",H14&gt;60,"B", H14&gt;50,"C",H14&gt;40,"D", H14&lt;40,"F")</f>
        <v>B</v>
      </c>
      <c r="J14" s="7" t="str" cm="1">
        <f t="array" ref="J14">_xlfn.IFS(H14&gt;=70,"EXCELLENT",H14&gt;=50, "NEEDS IMPROVEMENT",H14&lt;=49,"POOR")</f>
        <v>NEEDS IMPROVEMENT</v>
      </c>
      <c r="K14" s="7" t="str">
        <f t="shared" si="3"/>
        <v>Fail</v>
      </c>
    </row>
    <row r="15" spans="1:14" x14ac:dyDescent="0.25">
      <c r="A15" s="10" t="s">
        <v>34</v>
      </c>
      <c r="B15" s="10" t="s">
        <v>35</v>
      </c>
      <c r="C15" s="10">
        <v>91</v>
      </c>
      <c r="D15" s="10">
        <v>52</v>
      </c>
      <c r="E15" s="10">
        <v>65</v>
      </c>
      <c r="F15" s="7">
        <f t="shared" si="0"/>
        <v>208</v>
      </c>
      <c r="G15" s="7">
        <f t="shared" si="1"/>
        <v>218.4</v>
      </c>
      <c r="H15" s="12">
        <f>((C15+D15+E15)/3)</f>
        <v>69.333333333333329</v>
      </c>
      <c r="I15" s="7" t="str" cm="1">
        <f t="array" ref="I15">_xlfn.IFS(H15&gt;70,"A",H15&gt;60,"B", H15&gt;50,"C",H15&gt;40,"D", H15&lt;40,"F")</f>
        <v>B</v>
      </c>
      <c r="J15" s="7" t="str" cm="1">
        <f t="array" ref="J15">_xlfn.IFS(H15&gt;=70,"EXCELLENT",H15&gt;=50, "NEEDS IMPROVEMENT",H15&lt;=49,"POOR")</f>
        <v>NEEDS IMPROVEMENT</v>
      </c>
      <c r="K15" s="7" t="str">
        <f t="shared" si="3"/>
        <v>Fail</v>
      </c>
    </row>
    <row r="16" spans="1:14" x14ac:dyDescent="0.25">
      <c r="A16" s="7" t="s">
        <v>36</v>
      </c>
      <c r="B16" s="7" t="s">
        <v>37</v>
      </c>
      <c r="C16" s="7">
        <v>26</v>
      </c>
      <c r="D16" s="7">
        <v>69</v>
      </c>
      <c r="E16" s="7">
        <v>72</v>
      </c>
      <c r="F16" s="7">
        <f t="shared" si="0"/>
        <v>167</v>
      </c>
      <c r="G16" s="7">
        <f t="shared" si="1"/>
        <v>175.35</v>
      </c>
      <c r="H16" s="12">
        <f t="shared" si="2"/>
        <v>55.666666666666664</v>
      </c>
      <c r="I16" s="7" t="str" cm="1">
        <f t="array" ref="I16">_xlfn.IFS(H16&gt;70,"A",H16&gt;60,"B", H16&gt;50,"C",H16&gt;40,"D", H16&lt;40,"F")</f>
        <v>C</v>
      </c>
      <c r="J16" s="7" t="str" cm="1">
        <f t="array" ref="J16">_xlfn.IFS(H16&gt;=70,"EXCELLENT",H16&gt;=50, "NEEDS IMPROVEMENT",H16&lt;=49,"POOR")</f>
        <v>NEEDS IMPROVEMENT</v>
      </c>
      <c r="K16" s="7" t="str">
        <f t="shared" si="3"/>
        <v>Fail</v>
      </c>
    </row>
    <row r="17" spans="1:11" x14ac:dyDescent="0.25">
      <c r="A17" s="10" t="s">
        <v>38</v>
      </c>
      <c r="B17" s="10" t="s">
        <v>39</v>
      </c>
      <c r="C17" s="10">
        <v>65</v>
      </c>
      <c r="D17" s="10">
        <v>56</v>
      </c>
      <c r="E17" s="10">
        <v>26</v>
      </c>
      <c r="F17" s="7">
        <f t="shared" si="0"/>
        <v>147</v>
      </c>
      <c r="G17" s="7">
        <f t="shared" si="1"/>
        <v>154.35</v>
      </c>
      <c r="H17" s="7">
        <f t="shared" si="2"/>
        <v>49</v>
      </c>
      <c r="I17" s="7" t="str" cm="1">
        <f t="array" ref="I17">_xlfn.IFS(H17&gt;70,"A",H17&gt;60,"B", H17&gt;50,"C",H17&gt;40,"D", H17&lt;40,"F")</f>
        <v>D</v>
      </c>
      <c r="J17" s="7" t="str" cm="1">
        <f t="array" ref="J17">_xlfn.IFS(H17&gt;=70,"EXCELLENT",H17&gt;=50, "NEEDS IMPROVEMENT",H17&lt;=49,"POOR")</f>
        <v>POOR</v>
      </c>
      <c r="K17" s="7" t="str">
        <f t="shared" si="3"/>
        <v>Fail</v>
      </c>
    </row>
    <row r="18" spans="1:11" x14ac:dyDescent="0.25">
      <c r="A18" s="7" t="s">
        <v>40</v>
      </c>
      <c r="B18" s="7" t="s">
        <v>41</v>
      </c>
      <c r="C18" s="7">
        <v>29</v>
      </c>
      <c r="D18" s="7">
        <v>42</v>
      </c>
      <c r="E18" s="7">
        <v>59</v>
      </c>
      <c r="F18" s="7">
        <f t="shared" si="0"/>
        <v>130</v>
      </c>
      <c r="G18" s="7">
        <f t="shared" si="1"/>
        <v>136.5</v>
      </c>
      <c r="H18" s="12">
        <f t="shared" si="2"/>
        <v>43.333333333333336</v>
      </c>
      <c r="I18" s="7" t="str" cm="1">
        <f t="array" ref="I18">_xlfn.IFS(H18&gt;70,"A",H18&gt;60,"B", H18&gt;50,"C",H18&gt;40,"D", H18&lt;40,"F")</f>
        <v>D</v>
      </c>
      <c r="J18" s="7" t="str" cm="1">
        <f t="array" ref="J18">_xlfn.IFS(H18&gt;=70,"EXCELLENT",H18&gt;=50, "NEEDS IMPROVEMENT",H18&lt;=49,"POOR")</f>
        <v>POOR</v>
      </c>
      <c r="K18" s="7" t="str">
        <f t="shared" si="3"/>
        <v>Fail</v>
      </c>
    </row>
    <row r="19" spans="1:11" x14ac:dyDescent="0.25">
      <c r="A19" s="10" t="s">
        <v>42</v>
      </c>
      <c r="B19" s="10" t="s">
        <v>43</v>
      </c>
      <c r="C19" s="10">
        <v>71</v>
      </c>
      <c r="D19" s="10">
        <v>45</v>
      </c>
      <c r="E19" s="10">
        <v>38</v>
      </c>
      <c r="F19" s="7">
        <f t="shared" si="0"/>
        <v>154</v>
      </c>
      <c r="G19" s="7">
        <f t="shared" si="1"/>
        <v>161.70000000000002</v>
      </c>
      <c r="H19" s="12">
        <f t="shared" si="2"/>
        <v>51.333333333333336</v>
      </c>
      <c r="I19" s="7" t="str" cm="1">
        <f t="array" ref="I19">_xlfn.IFS(H19&gt;70,"A",H19&gt;60,"B", H19&gt;50,"C",H19&gt;40,"D", H19&lt;40,"F")</f>
        <v>C</v>
      </c>
      <c r="J19" s="7" t="str" cm="1">
        <f t="array" ref="J19">_xlfn.IFS(H19&gt;=70,"EXCELLENT",H19&gt;=50, "NEEDS IMPROVEMENT",H19&lt;=49,"POOR")</f>
        <v>NEEDS IMPROVEMENT</v>
      </c>
      <c r="K19" s="7" t="str">
        <f t="shared" si="3"/>
        <v>Fail</v>
      </c>
    </row>
    <row r="20" spans="1:11" x14ac:dyDescent="0.25">
      <c r="A20" s="7" t="s">
        <v>44</v>
      </c>
      <c r="B20" s="7" t="s">
        <v>45</v>
      </c>
      <c r="C20" s="7">
        <v>44</v>
      </c>
      <c r="D20" s="7">
        <v>28</v>
      </c>
      <c r="E20" s="7">
        <v>61</v>
      </c>
      <c r="F20" s="7">
        <f t="shared" si="0"/>
        <v>133</v>
      </c>
      <c r="G20" s="7">
        <f t="shared" si="1"/>
        <v>139.65</v>
      </c>
      <c r="H20" s="12">
        <f t="shared" si="2"/>
        <v>44.333333333333336</v>
      </c>
      <c r="I20" s="7" t="str" cm="1">
        <f t="array" ref="I20">_xlfn.IFS(H20&gt;70,"A",H20&gt;60,"B", H20&gt;50,"C",H20&gt;40,"D", H20&lt;40,"F")</f>
        <v>D</v>
      </c>
      <c r="J20" s="7" t="str" cm="1">
        <f t="array" ref="J20">_xlfn.IFS(H20&gt;=70,"EXCELLENT",H20&gt;=50, "NEEDS IMPROVEMENT",H20&lt;=49,"POOR")</f>
        <v>POOR</v>
      </c>
      <c r="K20" s="7" t="str">
        <f t="shared" si="3"/>
        <v>Fail</v>
      </c>
    </row>
    <row r="21" spans="1:11" x14ac:dyDescent="0.25">
      <c r="A21" s="10" t="s">
        <v>46</v>
      </c>
      <c r="B21" s="10" t="s">
        <v>47</v>
      </c>
      <c r="C21" s="10">
        <v>63</v>
      </c>
      <c r="D21" s="10">
        <v>52</v>
      </c>
      <c r="E21" s="10">
        <v>79</v>
      </c>
      <c r="F21" s="7">
        <f t="shared" si="0"/>
        <v>194</v>
      </c>
      <c r="G21" s="7">
        <f t="shared" si="1"/>
        <v>203.70000000000002</v>
      </c>
      <c r="H21" s="12">
        <f t="shared" si="2"/>
        <v>64.666666666666671</v>
      </c>
      <c r="I21" s="7" t="str" cm="1">
        <f t="array" ref="I21">_xlfn.IFS(H21&gt;70,"A",H21&gt;60,"B", H21&gt;50,"C",H21&gt;40,"D", H21&lt;40,"F")</f>
        <v>B</v>
      </c>
      <c r="J21" s="7" t="str" cm="1">
        <f t="array" ref="J21">_xlfn.IFS(H21&gt;=70,"EXCELLENT",H21&gt;=50, "NEEDS IMPROVEMENT",H21&lt;=49,"POOR")</f>
        <v>NEEDS IMPROVEMENT</v>
      </c>
      <c r="K21" s="7" t="str">
        <f t="shared" si="3"/>
        <v>Fail</v>
      </c>
    </row>
    <row r="22" spans="1:11" x14ac:dyDescent="0.25">
      <c r="A22" s="7" t="s">
        <v>48</v>
      </c>
      <c r="B22" s="7" t="s">
        <v>49</v>
      </c>
      <c r="C22" s="7">
        <v>63</v>
      </c>
      <c r="D22" s="7">
        <v>68</v>
      </c>
      <c r="E22" s="7">
        <v>29</v>
      </c>
      <c r="F22" s="7">
        <f t="shared" si="0"/>
        <v>160</v>
      </c>
      <c r="G22" s="7">
        <f t="shared" si="1"/>
        <v>168</v>
      </c>
      <c r="H22" s="12">
        <f t="shared" si="2"/>
        <v>53.333333333333336</v>
      </c>
      <c r="I22" s="7" t="str" cm="1">
        <f t="array" ref="I22">_xlfn.IFS(H22&gt;70,"A",H22&gt;60,"B", H22&gt;50,"C",H22&gt;40,"D", H22&lt;40,"F")</f>
        <v>C</v>
      </c>
      <c r="J22" s="7" t="str" cm="1">
        <f t="array" ref="J22">_xlfn.IFS(H22&gt;=70,"EXCELLENT",H22&gt;=50, "NEEDS IMPROVEMENT",H22&lt;=49,"POOR")</f>
        <v>NEEDS IMPROVEMENT</v>
      </c>
      <c r="K22" s="7" t="str">
        <f t="shared" si="3"/>
        <v>Fail</v>
      </c>
    </row>
    <row r="23" spans="1:11" x14ac:dyDescent="0.25">
      <c r="A23" s="10" t="s">
        <v>50</v>
      </c>
      <c r="B23" s="10" t="s">
        <v>51</v>
      </c>
      <c r="C23" s="10">
        <v>88</v>
      </c>
      <c r="D23" s="10">
        <v>68</v>
      </c>
      <c r="E23" s="10">
        <v>92</v>
      </c>
      <c r="F23" s="7">
        <f t="shared" si="0"/>
        <v>248</v>
      </c>
      <c r="G23" s="7">
        <f t="shared" si="1"/>
        <v>260.40000000000003</v>
      </c>
      <c r="H23" s="12">
        <f t="shared" si="2"/>
        <v>82.666666666666671</v>
      </c>
      <c r="I23" s="7" t="str" cm="1">
        <f t="array" ref="I23">_xlfn.IFS(H23&gt;70,"A",H23&gt;60,"B", H23&gt;50,"C",H23&gt;40,"D", H23&lt;40,"F")</f>
        <v>A</v>
      </c>
      <c r="J23" s="7" t="str" cm="1">
        <f t="array" ref="J23">_xlfn.IFS(H23&gt;=70,"EXCELLENT",H23&gt;=50, "NEEDS IMPROVEMENT",H23&lt;=49,"POOR")</f>
        <v>EXCELLENT</v>
      </c>
      <c r="K23" s="7" t="str">
        <f t="shared" si="3"/>
        <v>Pass</v>
      </c>
    </row>
    <row r="24" spans="1:11" x14ac:dyDescent="0.25">
      <c r="A24" s="7" t="s">
        <v>52</v>
      </c>
      <c r="B24" s="7" t="s">
        <v>53</v>
      </c>
      <c r="C24" s="7">
        <v>84</v>
      </c>
      <c r="D24" s="7">
        <v>52</v>
      </c>
      <c r="E24" s="7">
        <v>33</v>
      </c>
      <c r="F24" s="7">
        <f t="shared" si="0"/>
        <v>169</v>
      </c>
      <c r="G24" s="7">
        <f t="shared" si="1"/>
        <v>177.45000000000002</v>
      </c>
      <c r="H24" s="12">
        <f t="shared" si="2"/>
        <v>56.333333333333336</v>
      </c>
      <c r="I24" s="7" t="str" cm="1">
        <f t="array" ref="I24">_xlfn.IFS(H24&gt;70,"A",H24&gt;60,"B", H24&gt;50,"C",H24&gt;40,"D", H24&lt;40,"F")</f>
        <v>C</v>
      </c>
      <c r="J24" s="7" t="str" cm="1">
        <f t="array" ref="J24">_xlfn.IFS(H24&gt;=70,"EXCELLENT",H24&gt;=50, "NEEDS IMPROVEMENT",H24&lt;=49,"POOR")</f>
        <v>NEEDS IMPROVEMENT</v>
      </c>
      <c r="K24" s="7" t="str">
        <f t="shared" si="3"/>
        <v>Fail</v>
      </c>
    </row>
    <row r="25" spans="1:11" x14ac:dyDescent="0.25">
      <c r="A25" s="10" t="s">
        <v>54</v>
      </c>
      <c r="B25" s="10" t="s">
        <v>55</v>
      </c>
      <c r="C25" s="10">
        <v>26</v>
      </c>
      <c r="D25" s="10">
        <v>88</v>
      </c>
      <c r="E25" s="10">
        <v>52</v>
      </c>
      <c r="F25" s="7">
        <f t="shared" si="0"/>
        <v>166</v>
      </c>
      <c r="G25" s="7">
        <f t="shared" si="1"/>
        <v>174.3</v>
      </c>
      <c r="H25" s="12">
        <f t="shared" si="2"/>
        <v>55.333333333333336</v>
      </c>
      <c r="I25" s="7" t="str" cm="1">
        <f t="array" ref="I25">_xlfn.IFS(H25&gt;70,"A",H25&gt;60,"B", H25&gt;50,"C",H25&gt;40,"D", H25&lt;40,"F")</f>
        <v>C</v>
      </c>
      <c r="J25" s="7" t="str" cm="1">
        <f t="array" ref="J25">_xlfn.IFS(H25&gt;=70,"EXCELLENT",H25&gt;=50, "NEEDS IMPROVEMENT",H25&lt;=49,"POOR")</f>
        <v>NEEDS IMPROVEMENT</v>
      </c>
      <c r="K25" s="7" t="str">
        <f t="shared" si="3"/>
        <v>Fail</v>
      </c>
    </row>
    <row r="26" spans="1:11" x14ac:dyDescent="0.25">
      <c r="A26" s="7" t="s">
        <v>56</v>
      </c>
      <c r="B26" s="7" t="s">
        <v>57</v>
      </c>
      <c r="C26" s="7">
        <v>34</v>
      </c>
      <c r="D26" s="7">
        <v>41</v>
      </c>
      <c r="E26" s="7">
        <v>48</v>
      </c>
      <c r="F26" s="7">
        <f t="shared" si="0"/>
        <v>123</v>
      </c>
      <c r="G26" s="7">
        <f t="shared" si="1"/>
        <v>129.15</v>
      </c>
      <c r="H26" s="7">
        <f t="shared" si="2"/>
        <v>41</v>
      </c>
      <c r="I26" s="7" t="str" cm="1">
        <f t="array" ref="I26">_xlfn.IFS(H26&gt;70,"A",H26&gt;60,"B", H26&gt;50,"C",H26&gt;40,"D", H26&lt;40,"F")</f>
        <v>D</v>
      </c>
      <c r="J26" s="7" t="str" cm="1">
        <f t="array" ref="J26">_xlfn.IFS(H26&gt;=70,"EXCELLENT",H26&gt;=50, "NEEDS IMPROVEMENT",H26&lt;=49,"POOR")</f>
        <v>POOR</v>
      </c>
      <c r="K26" s="7" t="str">
        <f t="shared" si="3"/>
        <v>Fail</v>
      </c>
    </row>
    <row r="27" spans="1:11" x14ac:dyDescent="0.25">
      <c r="A27" s="10" t="s">
        <v>58</v>
      </c>
      <c r="B27" s="10" t="s">
        <v>59</v>
      </c>
      <c r="C27" s="10">
        <v>60</v>
      </c>
      <c r="D27" s="10">
        <v>94</v>
      </c>
      <c r="E27" s="10">
        <v>56</v>
      </c>
      <c r="F27" s="7">
        <f t="shared" si="0"/>
        <v>210</v>
      </c>
      <c r="G27" s="7">
        <f t="shared" si="1"/>
        <v>220.5</v>
      </c>
      <c r="H27" s="7">
        <f t="shared" si="2"/>
        <v>70</v>
      </c>
      <c r="I27" s="7" t="str" cm="1">
        <f t="array" ref="I27">_xlfn.IFS(H27&gt;70,"A",H27&gt;60,"B", H27&gt;50,"C",H27&gt;40,"D", H27&lt;40,"F")</f>
        <v>B</v>
      </c>
      <c r="J27" s="7" t="str" cm="1">
        <f t="array" ref="J27">_xlfn.IFS(H27&gt;=70,"EXCELLENT",H27&gt;=50, "NEEDS IMPROVEMENT",H27&lt;=49,"POOR")</f>
        <v>EXCELLENT</v>
      </c>
      <c r="K27" s="7" t="str">
        <f t="shared" si="3"/>
        <v>Fail</v>
      </c>
    </row>
    <row r="28" spans="1:11" x14ac:dyDescent="0.25">
      <c r="A28" s="7" t="s">
        <v>60</v>
      </c>
      <c r="B28" s="7" t="s">
        <v>61</v>
      </c>
      <c r="C28" s="7">
        <v>90</v>
      </c>
      <c r="D28" s="7">
        <v>71</v>
      </c>
      <c r="E28" s="7">
        <v>38</v>
      </c>
      <c r="F28" s="7">
        <f t="shared" si="0"/>
        <v>199</v>
      </c>
      <c r="G28" s="7">
        <f t="shared" si="1"/>
        <v>208.95000000000002</v>
      </c>
      <c r="H28" s="12">
        <f t="shared" si="2"/>
        <v>66.333333333333329</v>
      </c>
      <c r="I28" s="7" t="str" cm="1">
        <f t="array" ref="I28">_xlfn.IFS(H28&gt;70,"A",H28&gt;60,"B", H28&gt;50,"C",H28&gt;40,"D", H28&lt;40,"F")</f>
        <v>B</v>
      </c>
      <c r="J28" s="7" t="str" cm="1">
        <f t="array" ref="J28">_xlfn.IFS(H28&gt;=70,"EXCELLENT",H28&gt;=50, "NEEDS IMPROVEMENT",H28&lt;=49,"POOR")</f>
        <v>NEEDS IMPROVEMENT</v>
      </c>
      <c r="K28" s="7" t="str">
        <f t="shared" si="3"/>
        <v>Fail</v>
      </c>
    </row>
    <row r="29" spans="1:11" x14ac:dyDescent="0.25">
      <c r="A29" s="10" t="s">
        <v>62</v>
      </c>
      <c r="B29" s="10" t="s">
        <v>63</v>
      </c>
      <c r="C29" s="10">
        <v>89</v>
      </c>
      <c r="D29" s="10">
        <v>85</v>
      </c>
      <c r="E29" s="10">
        <v>51</v>
      </c>
      <c r="F29" s="7">
        <f t="shared" si="0"/>
        <v>225</v>
      </c>
      <c r="G29" s="7">
        <f t="shared" si="1"/>
        <v>236.25</v>
      </c>
      <c r="H29" s="7">
        <f t="shared" si="2"/>
        <v>75</v>
      </c>
      <c r="I29" s="7" t="str" cm="1">
        <f t="array" ref="I29">_xlfn.IFS(H29&gt;70,"A",H29&gt;60,"B", H29&gt;50,"C",H29&gt;40,"D", H29&lt;40,"F")</f>
        <v>A</v>
      </c>
      <c r="J29" s="7" t="str" cm="1">
        <f t="array" ref="J29">_xlfn.IFS(H29&gt;=70,"EXCELLENT",H29&gt;=50, "NEEDS IMPROVEMENT",H29&lt;=49,"POOR")</f>
        <v>EXCELLENT</v>
      </c>
      <c r="K29" s="7" t="str">
        <f t="shared" si="3"/>
        <v>Pass</v>
      </c>
    </row>
    <row r="30" spans="1:11" x14ac:dyDescent="0.25">
      <c r="A30" s="7" t="s">
        <v>64</v>
      </c>
      <c r="B30" s="7" t="s">
        <v>65</v>
      </c>
      <c r="C30" s="7">
        <v>71</v>
      </c>
      <c r="D30" s="7">
        <v>48</v>
      </c>
      <c r="E30" s="7">
        <v>43</v>
      </c>
      <c r="F30" s="7">
        <f t="shared" si="0"/>
        <v>162</v>
      </c>
      <c r="G30" s="7">
        <f t="shared" si="1"/>
        <v>170.1</v>
      </c>
      <c r="H30" s="7">
        <f t="shared" si="2"/>
        <v>54</v>
      </c>
      <c r="I30" s="7" t="str" cm="1">
        <f t="array" ref="I30">_xlfn.IFS(H30&gt;70,"A",H30&gt;60,"B", H30&gt;50,"C",H30&gt;40,"D", H30&lt;40,"F")</f>
        <v>C</v>
      </c>
      <c r="J30" s="7" t="str" cm="1">
        <f t="array" ref="J30">_xlfn.IFS(H30&gt;=70,"EXCELLENT",H30&gt;=50, "NEEDS IMPROVEMENT",H30&lt;=49,"POOR")</f>
        <v>NEEDS IMPROVEMENT</v>
      </c>
      <c r="K30" s="7" t="str">
        <f t="shared" si="3"/>
        <v>Fail</v>
      </c>
    </row>
    <row r="31" spans="1:11" x14ac:dyDescent="0.25">
      <c r="A31" s="10" t="s">
        <v>66</v>
      </c>
      <c r="B31" s="10" t="s">
        <v>67</v>
      </c>
      <c r="C31" s="10">
        <v>70</v>
      </c>
      <c r="D31" s="10">
        <v>92</v>
      </c>
      <c r="E31" s="10">
        <v>47</v>
      </c>
      <c r="F31" s="7">
        <f t="shared" si="0"/>
        <v>209</v>
      </c>
      <c r="G31" s="7">
        <f t="shared" si="1"/>
        <v>219.45000000000002</v>
      </c>
      <c r="H31" s="12">
        <f t="shared" si="2"/>
        <v>69.666666666666671</v>
      </c>
      <c r="I31" s="7" t="str" cm="1">
        <f t="array" ref="I31">_xlfn.IFS(H31&gt;70,"A",H31&gt;60,"B", H31&gt;50,"C",H31&gt;40,"D", H31&lt;40,"F")</f>
        <v>B</v>
      </c>
      <c r="J31" s="7" t="str" cm="1">
        <f t="array" ref="J31">_xlfn.IFS(H31&gt;=70,"EXCELLENT",H31&gt;=50, "NEEDS IMPROVEMENT",H31&lt;=49,"POOR")</f>
        <v>NEEDS IMPROVEMENT</v>
      </c>
      <c r="K31" s="7" t="str">
        <f t="shared" si="3"/>
        <v>Fail</v>
      </c>
    </row>
    <row r="32" spans="1:11" x14ac:dyDescent="0.25">
      <c r="A32" s="7" t="s">
        <v>68</v>
      </c>
      <c r="B32" s="7" t="s">
        <v>69</v>
      </c>
      <c r="C32" s="7">
        <v>32</v>
      </c>
      <c r="D32" s="7">
        <v>59</v>
      </c>
      <c r="E32" s="7">
        <v>74</v>
      </c>
      <c r="F32" s="7">
        <f t="shared" si="0"/>
        <v>165</v>
      </c>
      <c r="G32" s="7">
        <f t="shared" si="1"/>
        <v>173.25</v>
      </c>
      <c r="H32" s="7">
        <f t="shared" si="2"/>
        <v>55</v>
      </c>
      <c r="I32" s="7" t="str" cm="1">
        <f t="array" ref="I32">_xlfn.IFS(H32&gt;70,"A",H32&gt;60,"B", H32&gt;50,"C",H32&gt;40,"D", H32&lt;40,"F")</f>
        <v>C</v>
      </c>
      <c r="J32" s="7" t="str" cm="1">
        <f t="array" ref="J32">_xlfn.IFS(H32&gt;=70,"EXCELLENT",H32&gt;=50, "NEEDS IMPROVEMENT",H32&lt;=49,"POOR")</f>
        <v>NEEDS IMPROVEMENT</v>
      </c>
      <c r="K32" s="7" t="str">
        <f t="shared" si="3"/>
        <v>Fail</v>
      </c>
    </row>
    <row r="33" spans="1:11" x14ac:dyDescent="0.25">
      <c r="A33" s="10" t="s">
        <v>70</v>
      </c>
      <c r="B33" s="10" t="s">
        <v>71</v>
      </c>
      <c r="C33" s="10">
        <v>87</v>
      </c>
      <c r="D33" s="10">
        <v>63</v>
      </c>
      <c r="E33" s="10">
        <v>57</v>
      </c>
      <c r="F33" s="7">
        <f t="shared" si="0"/>
        <v>207</v>
      </c>
      <c r="G33" s="7">
        <f t="shared" si="1"/>
        <v>217.35000000000002</v>
      </c>
      <c r="H33" s="7">
        <f t="shared" si="2"/>
        <v>69</v>
      </c>
      <c r="I33" s="7" t="str" cm="1">
        <f t="array" ref="I33">_xlfn.IFS(H33&gt;70,"A",H33&gt;60,"B", H33&gt;50,"C",H33&gt;40,"D", H33&lt;40,"F")</f>
        <v>B</v>
      </c>
      <c r="J33" s="7" t="str" cm="1">
        <f t="array" ref="J33">_xlfn.IFS(H33&gt;=70,"EXCELLENT",H33&gt;=50, "NEEDS IMPROVEMENT",H33&lt;=49,"POOR")</f>
        <v>NEEDS IMPROVEMENT</v>
      </c>
      <c r="K33" s="7" t="str">
        <f t="shared" si="3"/>
        <v>Fail</v>
      </c>
    </row>
    <row r="34" spans="1:11" x14ac:dyDescent="0.25">
      <c r="A34" s="7" t="s">
        <v>72</v>
      </c>
      <c r="B34" s="7" t="s">
        <v>73</v>
      </c>
      <c r="C34" s="7">
        <v>62</v>
      </c>
      <c r="D34" s="7">
        <v>66</v>
      </c>
      <c r="E34" s="7">
        <v>95</v>
      </c>
      <c r="F34" s="7">
        <f t="shared" si="0"/>
        <v>223</v>
      </c>
      <c r="G34" s="7">
        <f t="shared" si="1"/>
        <v>234.15</v>
      </c>
      <c r="H34" s="12">
        <f t="shared" si="2"/>
        <v>74.333333333333329</v>
      </c>
      <c r="I34" s="7" t="str" cm="1">
        <f t="array" ref="I34">_xlfn.IFS(H34&gt;70,"A",H34&gt;60,"B", H34&gt;50,"C",H34&gt;40,"D", H34&lt;40,"F")</f>
        <v>A</v>
      </c>
      <c r="J34" s="7" t="str" cm="1">
        <f t="array" ref="J34">_xlfn.IFS(H34&gt;=70,"EXCELLENT",H34&gt;=50, "NEEDS IMPROVEMENT",H34&lt;=49,"POOR")</f>
        <v>EXCELLENT</v>
      </c>
      <c r="K34" s="7" t="str">
        <f t="shared" si="3"/>
        <v>Pass</v>
      </c>
    </row>
    <row r="35" spans="1:11" x14ac:dyDescent="0.25">
      <c r="A35" s="10" t="s">
        <v>74</v>
      </c>
      <c r="B35" s="10" t="s">
        <v>75</v>
      </c>
      <c r="C35" s="10">
        <v>60</v>
      </c>
      <c r="D35" s="10">
        <v>30</v>
      </c>
      <c r="E35" s="10"/>
      <c r="F35" s="7">
        <f t="shared" si="0"/>
        <v>90</v>
      </c>
      <c r="G35" s="7">
        <f t="shared" si="1"/>
        <v>94.5</v>
      </c>
      <c r="H35" s="7">
        <f t="shared" si="2"/>
        <v>30</v>
      </c>
      <c r="I35" s="7" t="str" cm="1">
        <f t="array" ref="I35">_xlfn.IFS(H35&gt;70,"A",H35&gt;60,"B", H35&gt;50,"C",H35&gt;40,"D", H35&lt;40,"F")</f>
        <v>F</v>
      </c>
      <c r="J35" s="7" t="str" cm="1">
        <f t="array" ref="J35">_xlfn.IFS(H35&gt;=70,"EXCELLENT",H35&gt;=50, "NEEDS IMPROVEMENT",H35&lt;=49,"POOR")</f>
        <v>POOR</v>
      </c>
      <c r="K35" s="7" t="str">
        <f t="shared" si="3"/>
        <v>Fail</v>
      </c>
    </row>
    <row r="36" spans="1:11" x14ac:dyDescent="0.25">
      <c r="A36" s="7" t="s">
        <v>76</v>
      </c>
      <c r="B36" s="7" t="s">
        <v>77</v>
      </c>
      <c r="C36" s="7">
        <v>82</v>
      </c>
      <c r="D36" s="7">
        <v>29</v>
      </c>
      <c r="E36" s="7">
        <v>91</v>
      </c>
      <c r="F36" s="7">
        <f t="shared" si="0"/>
        <v>202</v>
      </c>
      <c r="G36" s="7">
        <f t="shared" si="1"/>
        <v>212.10000000000002</v>
      </c>
      <c r="H36" s="12">
        <f t="shared" si="2"/>
        <v>67.333333333333329</v>
      </c>
      <c r="I36" s="7" t="str" cm="1">
        <f t="array" ref="I36">_xlfn.IFS(H36&gt;70,"A",H36&gt;60,"B", H36&gt;50,"C",H36&gt;40,"D", H36&lt;40,"F")</f>
        <v>B</v>
      </c>
      <c r="J36" s="7" t="str" cm="1">
        <f t="array" ref="J36">_xlfn.IFS(H36&gt;=70,"EXCELLENT",H36&gt;=50, "NEEDS IMPROVEMENT",H36&lt;=49,"POOR")</f>
        <v>NEEDS IMPROVEMENT</v>
      </c>
      <c r="K36" s="7" t="str">
        <f t="shared" si="3"/>
        <v>Fail</v>
      </c>
    </row>
    <row r="37" spans="1:11" x14ac:dyDescent="0.25">
      <c r="A37" s="10" t="s">
        <v>78</v>
      </c>
      <c r="B37" s="10" t="s">
        <v>79</v>
      </c>
      <c r="C37" s="10">
        <v>93</v>
      </c>
      <c r="D37" s="10">
        <v>33</v>
      </c>
      <c r="E37" s="10">
        <v>44</v>
      </c>
      <c r="F37" s="7">
        <f t="shared" si="0"/>
        <v>170</v>
      </c>
      <c r="G37" s="7">
        <f t="shared" si="1"/>
        <v>178.5</v>
      </c>
      <c r="H37" s="12">
        <f t="shared" si="2"/>
        <v>56.666666666666664</v>
      </c>
      <c r="I37" s="7" t="str" cm="1">
        <f t="array" ref="I37">_xlfn.IFS(H37&gt;70,"A",H37&gt;60,"B", H37&gt;50,"C",H37&gt;40,"D", H37&lt;40,"F")</f>
        <v>C</v>
      </c>
      <c r="J37" s="7" t="str" cm="1">
        <f t="array" ref="J37">_xlfn.IFS(H37&gt;=70,"EXCELLENT",H37&gt;=50, "NEEDS IMPROVEMENT",H37&lt;=49,"POOR")</f>
        <v>NEEDS IMPROVEMENT</v>
      </c>
      <c r="K37" s="7" t="str">
        <f t="shared" si="3"/>
        <v>Fail</v>
      </c>
    </row>
    <row r="38" spans="1:11" x14ac:dyDescent="0.25">
      <c r="A38" s="7" t="s">
        <v>80</v>
      </c>
      <c r="B38" s="7" t="s">
        <v>81</v>
      </c>
      <c r="C38" s="7">
        <v>84</v>
      </c>
      <c r="D38" s="7">
        <v>60</v>
      </c>
      <c r="E38" s="7">
        <v>40</v>
      </c>
      <c r="F38" s="7">
        <f t="shared" si="0"/>
        <v>184</v>
      </c>
      <c r="G38" s="7">
        <f t="shared" si="1"/>
        <v>193.20000000000002</v>
      </c>
      <c r="H38" s="12">
        <f t="shared" si="2"/>
        <v>61.333333333333336</v>
      </c>
      <c r="I38" s="7" t="str" cm="1">
        <f t="array" ref="I38">_xlfn.IFS(H38&gt;70,"A",H38&gt;60,"B", H38&gt;50,"C",H38&gt;40,"D", H38&lt;40,"F")</f>
        <v>B</v>
      </c>
      <c r="J38" s="7" t="str" cm="1">
        <f t="array" ref="J38">_xlfn.IFS(H38&gt;=70,"EXCELLENT",H38&gt;=50, "NEEDS IMPROVEMENT",H38&lt;=49,"POOR")</f>
        <v>NEEDS IMPROVEMENT</v>
      </c>
      <c r="K38" s="7" t="str">
        <f t="shared" si="3"/>
        <v>Fail</v>
      </c>
    </row>
    <row r="39" spans="1:11" x14ac:dyDescent="0.25">
      <c r="A39" s="10" t="s">
        <v>82</v>
      </c>
      <c r="B39" s="10" t="s">
        <v>83</v>
      </c>
      <c r="C39" s="10">
        <v>59</v>
      </c>
      <c r="D39" s="10">
        <v>29</v>
      </c>
      <c r="E39" s="10">
        <v>53</v>
      </c>
      <c r="F39" s="7">
        <f t="shared" si="0"/>
        <v>141</v>
      </c>
      <c r="G39" s="7">
        <f t="shared" si="1"/>
        <v>148.05000000000001</v>
      </c>
      <c r="H39" s="7">
        <f t="shared" si="2"/>
        <v>47</v>
      </c>
      <c r="I39" s="7" t="str" cm="1">
        <f t="array" ref="I39">_xlfn.IFS(H39&gt;70,"A",H39&gt;60,"B", H39&gt;50,"C",H39&gt;40,"D", H39&lt;40,"F")</f>
        <v>D</v>
      </c>
      <c r="J39" s="7" t="str" cm="1">
        <f t="array" ref="J39">_xlfn.IFS(H39&gt;=70,"EXCELLENT",H39&gt;=50, "NEEDS IMPROVEMENT",H39&lt;=49,"POOR")</f>
        <v>POOR</v>
      </c>
      <c r="K39" s="7" t="str">
        <f t="shared" si="3"/>
        <v>Fail</v>
      </c>
    </row>
    <row r="40" spans="1:11" x14ac:dyDescent="0.25">
      <c r="A40" s="7" t="s">
        <v>84</v>
      </c>
      <c r="B40" s="7" t="s">
        <v>85</v>
      </c>
      <c r="C40" s="7">
        <v>28</v>
      </c>
      <c r="D40" s="7">
        <v>89</v>
      </c>
      <c r="E40" s="7">
        <v>74</v>
      </c>
      <c r="F40" s="7">
        <f t="shared" si="0"/>
        <v>191</v>
      </c>
      <c r="G40" s="7">
        <f t="shared" si="1"/>
        <v>200.55</v>
      </c>
      <c r="H40" s="12">
        <f t="shared" si="2"/>
        <v>63.666666666666664</v>
      </c>
      <c r="I40" s="7" t="str" cm="1">
        <f t="array" ref="I40">_xlfn.IFS(H40&gt;70,"A",H40&gt;60,"B", H40&gt;50,"C",H40&gt;40,"D", H40&lt;40,"F")</f>
        <v>B</v>
      </c>
      <c r="J40" s="7" t="str" cm="1">
        <f t="array" ref="J40">_xlfn.IFS(H40&gt;=70,"EXCELLENT",H40&gt;=50, "NEEDS IMPROVEMENT",H40&lt;=49,"POOR")</f>
        <v>NEEDS IMPROVEMENT</v>
      </c>
      <c r="K40" s="7" t="str">
        <f t="shared" si="3"/>
        <v>Fail</v>
      </c>
    </row>
    <row r="41" spans="1:11" x14ac:dyDescent="0.25">
      <c r="A41" s="10" t="s">
        <v>86</v>
      </c>
      <c r="B41" s="10" t="s">
        <v>87</v>
      </c>
      <c r="C41" s="10">
        <v>68</v>
      </c>
      <c r="D41" s="10">
        <v>40</v>
      </c>
      <c r="E41" s="10">
        <v>91</v>
      </c>
      <c r="F41" s="7">
        <f t="shared" si="0"/>
        <v>199</v>
      </c>
      <c r="G41" s="7">
        <f t="shared" si="1"/>
        <v>208.95000000000002</v>
      </c>
      <c r="H41" s="12">
        <f t="shared" si="2"/>
        <v>66.333333333333329</v>
      </c>
      <c r="I41" s="7" t="str" cm="1">
        <f t="array" ref="I41">_xlfn.IFS(H41&gt;70,"A",H41&gt;60,"B", H41&gt;50,"C",H41&gt;40,"D", H41&lt;40,"F")</f>
        <v>B</v>
      </c>
      <c r="J41" s="7" t="str" cm="1">
        <f t="array" ref="J41">_xlfn.IFS(H41&gt;=70,"EXCELLENT",H41&gt;=50, "NEEDS IMPROVEMENT",H41&lt;=49,"POOR")</f>
        <v>NEEDS IMPROVEMENT</v>
      </c>
      <c r="K41" s="7" t="str">
        <f t="shared" si="3"/>
        <v>Fail</v>
      </c>
    </row>
    <row r="42" spans="1:11" x14ac:dyDescent="0.25">
      <c r="A42" s="7" t="s">
        <v>88</v>
      </c>
      <c r="B42" s="7" t="s">
        <v>89</v>
      </c>
      <c r="C42" s="7">
        <v>84</v>
      </c>
      <c r="D42" s="7">
        <v>70</v>
      </c>
      <c r="E42" s="7">
        <v>43</v>
      </c>
      <c r="F42" s="7">
        <f t="shared" si="0"/>
        <v>197</v>
      </c>
      <c r="G42" s="7">
        <f t="shared" si="1"/>
        <v>206.85000000000002</v>
      </c>
      <c r="H42" s="12">
        <f t="shared" si="2"/>
        <v>65.666666666666671</v>
      </c>
      <c r="I42" s="7" t="str" cm="1">
        <f t="array" ref="I42">_xlfn.IFS(H42&gt;70,"A",H42&gt;60,"B", H42&gt;50,"C",H42&gt;40,"D", H42&lt;40,"F")</f>
        <v>B</v>
      </c>
      <c r="J42" s="7" t="str" cm="1">
        <f t="array" ref="J42">_xlfn.IFS(H42&gt;=70,"EXCELLENT",H42&gt;=50, "NEEDS IMPROVEMENT",H42&lt;=49,"POOR")</f>
        <v>NEEDS IMPROVEMENT</v>
      </c>
      <c r="K42" s="7" t="str">
        <f t="shared" si="3"/>
        <v>Fail</v>
      </c>
    </row>
    <row r="43" spans="1:11" x14ac:dyDescent="0.25">
      <c r="A43" s="10" t="s">
        <v>90</v>
      </c>
      <c r="B43" s="10" t="s">
        <v>91</v>
      </c>
      <c r="C43" s="10">
        <v>82</v>
      </c>
      <c r="D43" s="10">
        <v>86</v>
      </c>
      <c r="E43" s="10">
        <v>78</v>
      </c>
      <c r="F43" s="7">
        <f t="shared" si="0"/>
        <v>246</v>
      </c>
      <c r="G43" s="7">
        <f t="shared" si="1"/>
        <v>258.3</v>
      </c>
      <c r="H43" s="7">
        <f t="shared" si="2"/>
        <v>82</v>
      </c>
      <c r="I43" s="7" t="str" cm="1">
        <f t="array" ref="I43">_xlfn.IFS(H43&gt;70,"A",H43&gt;60,"B", H43&gt;50,"C",H43&gt;40,"D", H43&lt;40,"F")</f>
        <v>A</v>
      </c>
      <c r="J43" s="7" t="str" cm="1">
        <f t="array" ref="J43">_xlfn.IFS(H43&gt;=70,"EXCELLENT",H43&gt;=50, "NEEDS IMPROVEMENT",H43&lt;=49,"POOR")</f>
        <v>EXCELLENT</v>
      </c>
      <c r="K43" s="7" t="str">
        <f t="shared" si="3"/>
        <v>Pass</v>
      </c>
    </row>
    <row r="44" spans="1:11" x14ac:dyDescent="0.25">
      <c r="A44" s="7" t="s">
        <v>92</v>
      </c>
      <c r="B44" s="7" t="s">
        <v>93</v>
      </c>
      <c r="C44" s="7">
        <v>28</v>
      </c>
      <c r="D44" s="7">
        <v>91</v>
      </c>
      <c r="E44" s="7">
        <v>52</v>
      </c>
      <c r="F44" s="7">
        <f t="shared" si="0"/>
        <v>171</v>
      </c>
      <c r="G44" s="7">
        <f t="shared" si="1"/>
        <v>179.55</v>
      </c>
      <c r="H44" s="7">
        <f t="shared" si="2"/>
        <v>57</v>
      </c>
      <c r="I44" s="7" t="str" cm="1">
        <f t="array" ref="I44">_xlfn.IFS(H44&gt;70,"A",H44&gt;60,"B", H44&gt;50,"C",H44&gt;40,"D", H44&lt;40,"F")</f>
        <v>C</v>
      </c>
      <c r="J44" s="7" t="str" cm="1">
        <f t="array" ref="J44">_xlfn.IFS(H44&gt;=70,"EXCELLENT",H44&gt;=50, "NEEDS IMPROVEMENT",H44&lt;=49,"POOR")</f>
        <v>NEEDS IMPROVEMENT</v>
      </c>
      <c r="K44" s="7" t="str">
        <f t="shared" si="3"/>
        <v>Fail</v>
      </c>
    </row>
    <row r="45" spans="1:11" x14ac:dyDescent="0.25">
      <c r="A45" s="10" t="s">
        <v>94</v>
      </c>
      <c r="B45" s="10" t="s">
        <v>95</v>
      </c>
      <c r="C45" s="10">
        <v>71</v>
      </c>
      <c r="D45" s="10">
        <v>93</v>
      </c>
      <c r="E45" s="10">
        <v>45</v>
      </c>
      <c r="F45" s="7">
        <f t="shared" si="0"/>
        <v>209</v>
      </c>
      <c r="G45" s="7">
        <f t="shared" si="1"/>
        <v>219.45000000000002</v>
      </c>
      <c r="H45" s="12">
        <f t="shared" si="2"/>
        <v>69.666666666666671</v>
      </c>
      <c r="I45" s="7" t="str" cm="1">
        <f t="array" ref="I45">_xlfn.IFS(H45&gt;70,"A",H45&gt;60,"B", H45&gt;50,"C",H45&gt;40,"D", H45&lt;40,"F")</f>
        <v>B</v>
      </c>
      <c r="J45" s="7" t="str" cm="1">
        <f t="array" ref="J45">_xlfn.IFS(H45&gt;=70,"EXCELLENT",H45&gt;=50, "NEEDS IMPROVEMENT",H45&lt;=49,"POOR")</f>
        <v>NEEDS IMPROVEMENT</v>
      </c>
      <c r="K45" s="7" t="str">
        <f t="shared" si="3"/>
        <v>Fail</v>
      </c>
    </row>
    <row r="46" spans="1:11" x14ac:dyDescent="0.25">
      <c r="A46" s="7" t="s">
        <v>96</v>
      </c>
      <c r="B46" s="7" t="s">
        <v>97</v>
      </c>
      <c r="C46" s="7">
        <v>82</v>
      </c>
      <c r="D46" s="7">
        <v>26</v>
      </c>
      <c r="E46" s="7">
        <v>50</v>
      </c>
      <c r="F46" s="7">
        <f t="shared" si="0"/>
        <v>158</v>
      </c>
      <c r="G46" s="7">
        <f t="shared" si="1"/>
        <v>165.9</v>
      </c>
      <c r="H46" s="12">
        <f t="shared" si="2"/>
        <v>52.666666666666664</v>
      </c>
      <c r="I46" s="7" t="str" cm="1">
        <f t="array" ref="I46">_xlfn.IFS(H46&gt;70,"A",H46&gt;60,"B", H46&gt;50,"C",H46&gt;40,"D", H46&lt;40,"F")</f>
        <v>C</v>
      </c>
      <c r="J46" s="7" t="str" cm="1">
        <f t="array" ref="J46">_xlfn.IFS(H46&gt;=70,"EXCELLENT",H46&gt;=50, "NEEDS IMPROVEMENT",H46&lt;=49,"POOR")</f>
        <v>NEEDS IMPROVEMENT</v>
      </c>
      <c r="K46" s="7" t="str">
        <f t="shared" si="3"/>
        <v>Fail</v>
      </c>
    </row>
    <row r="47" spans="1:11" x14ac:dyDescent="0.25">
      <c r="A47" s="10" t="s">
        <v>98</v>
      </c>
      <c r="B47" s="10" t="s">
        <v>99</v>
      </c>
      <c r="C47" s="10">
        <v>58</v>
      </c>
      <c r="D47" s="10">
        <v>56</v>
      </c>
      <c r="E47" s="10">
        <v>32</v>
      </c>
      <c r="F47" s="7">
        <f t="shared" si="0"/>
        <v>146</v>
      </c>
      <c r="G47" s="7">
        <f t="shared" si="1"/>
        <v>153.30000000000001</v>
      </c>
      <c r="H47" s="12">
        <f t="shared" si="2"/>
        <v>48.666666666666664</v>
      </c>
      <c r="I47" s="7" t="str" cm="1">
        <f t="array" ref="I47">_xlfn.IFS(H47&gt;70,"A",H47&gt;60,"B", H47&gt;50,"C",H47&gt;40,"D", H47&lt;40,"F")</f>
        <v>D</v>
      </c>
      <c r="J47" s="7" t="str" cm="1">
        <f t="array" ref="J47">_xlfn.IFS(H47&gt;=70,"EXCELLENT",H47&gt;=50, "NEEDS IMPROVEMENT",H47&lt;=49,"POOR")</f>
        <v>POOR</v>
      </c>
      <c r="K47" s="7" t="str">
        <f t="shared" si="3"/>
        <v>Fail</v>
      </c>
    </row>
    <row r="48" spans="1:11" x14ac:dyDescent="0.25">
      <c r="A48" s="7" t="s">
        <v>100</v>
      </c>
      <c r="B48" s="7" t="s">
        <v>101</v>
      </c>
      <c r="C48" s="7">
        <v>73</v>
      </c>
      <c r="D48" s="7">
        <v>40</v>
      </c>
      <c r="E48" s="7">
        <v>67</v>
      </c>
      <c r="F48" s="7">
        <f t="shared" si="0"/>
        <v>180</v>
      </c>
      <c r="G48" s="7">
        <f t="shared" si="1"/>
        <v>189</v>
      </c>
      <c r="H48" s="7">
        <f t="shared" si="2"/>
        <v>60</v>
      </c>
      <c r="I48" s="7" t="str" cm="1">
        <f t="array" ref="I48">_xlfn.IFS(H48&gt;70,"A",H48&gt;60,"B", H48&gt;50,"C",H48&gt;40,"D", H48&lt;40,"F")</f>
        <v>C</v>
      </c>
      <c r="J48" s="7" t="str" cm="1">
        <f t="array" ref="J48">_xlfn.IFS(H48&gt;=70,"EXCELLENT",H48&gt;=50, "NEEDS IMPROVEMENT",H48&lt;=49,"POOR")</f>
        <v>NEEDS IMPROVEMENT</v>
      </c>
      <c r="K48" s="7" t="str">
        <f t="shared" si="3"/>
        <v>Fail</v>
      </c>
    </row>
    <row r="49" spans="1:11" x14ac:dyDescent="0.25">
      <c r="A49" s="10" t="s">
        <v>102</v>
      </c>
      <c r="B49" s="10" t="s">
        <v>103</v>
      </c>
      <c r="C49" s="10">
        <v>51</v>
      </c>
      <c r="D49" s="10">
        <v>28</v>
      </c>
      <c r="E49" s="10">
        <v>79</v>
      </c>
      <c r="F49" s="7">
        <f t="shared" si="0"/>
        <v>158</v>
      </c>
      <c r="G49" s="7">
        <f t="shared" si="1"/>
        <v>165.9</v>
      </c>
      <c r="H49" s="12">
        <f t="shared" si="2"/>
        <v>52.666666666666664</v>
      </c>
      <c r="I49" s="7" t="str" cm="1">
        <f t="array" ref="I49">_xlfn.IFS(H49&gt;70,"A",H49&gt;60,"B", H49&gt;50,"C",H49&gt;40,"D", H49&lt;40,"F")</f>
        <v>C</v>
      </c>
      <c r="J49" s="7" t="str" cm="1">
        <f t="array" ref="J49">_xlfn.IFS(H49&gt;=70,"EXCELLENT",H49&gt;=50, "NEEDS IMPROVEMENT",H49&lt;=49,"POOR")</f>
        <v>NEEDS IMPROVEMENT</v>
      </c>
      <c r="K49" s="7" t="str">
        <f t="shared" si="3"/>
        <v>Fail</v>
      </c>
    </row>
    <row r="50" spans="1:11" x14ac:dyDescent="0.25">
      <c r="A50" s="7" t="s">
        <v>104</v>
      </c>
      <c r="B50" s="7" t="s">
        <v>105</v>
      </c>
      <c r="C50" s="7">
        <v>80</v>
      </c>
      <c r="D50" s="7">
        <v>29</v>
      </c>
      <c r="E50" s="7">
        <v>30</v>
      </c>
      <c r="F50" s="7">
        <f t="shared" si="0"/>
        <v>139</v>
      </c>
      <c r="G50" s="7">
        <f t="shared" si="1"/>
        <v>145.95000000000002</v>
      </c>
      <c r="H50" s="12">
        <f t="shared" si="2"/>
        <v>46.333333333333336</v>
      </c>
      <c r="I50" s="7" t="str" cm="1">
        <f t="array" ref="I50">_xlfn.IFS(H50&gt;70,"A",H50&gt;60,"B", H50&gt;50,"C",H50&gt;40,"D", H50&lt;40,"F")</f>
        <v>D</v>
      </c>
      <c r="J50" s="7" t="str" cm="1">
        <f t="array" ref="J50">_xlfn.IFS(H50&gt;=70,"EXCELLENT",H50&gt;=50, "NEEDS IMPROVEMENT",H50&lt;=49,"POOR")</f>
        <v>POOR</v>
      </c>
      <c r="K50" s="7" t="str">
        <f t="shared" si="3"/>
        <v>Fail</v>
      </c>
    </row>
    <row r="51" spans="1:11" x14ac:dyDescent="0.25">
      <c r="A51" s="10" t="s">
        <v>106</v>
      </c>
      <c r="B51" s="10" t="s">
        <v>107</v>
      </c>
      <c r="C51" s="10">
        <v>95</v>
      </c>
      <c r="D51" s="10">
        <v>49</v>
      </c>
      <c r="E51" s="10">
        <v>74</v>
      </c>
      <c r="F51" s="7">
        <f t="shared" si="0"/>
        <v>218</v>
      </c>
      <c r="G51" s="7">
        <f t="shared" si="1"/>
        <v>228.9</v>
      </c>
      <c r="H51" s="12">
        <f t="shared" si="2"/>
        <v>72.666666666666671</v>
      </c>
      <c r="I51" s="7" t="str" cm="1">
        <f t="array" ref="I51">_xlfn.IFS(H51&gt;70,"A",H51&gt;60,"B", H51&gt;50,"C",H51&gt;40,"D", H51&lt;40,"F")</f>
        <v>A</v>
      </c>
      <c r="J51" s="7" t="str" cm="1">
        <f t="array" ref="J51">_xlfn.IFS(H51&gt;=70,"EXCELLENT",H51&gt;=50, "NEEDS IMPROVEMENT",H51&lt;=49,"POOR")</f>
        <v>EXCELLENT</v>
      </c>
      <c r="K51" s="7" t="str">
        <f t="shared" si="3"/>
        <v>Pass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Questions </vt:lpstr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SYSTEM</cp:lastModifiedBy>
  <dcterms:created xsi:type="dcterms:W3CDTF">2025-09-24T02:52:38Z</dcterms:created>
  <dcterms:modified xsi:type="dcterms:W3CDTF">2026-03-09T03:26:01Z</dcterms:modified>
</cp:coreProperties>
</file>